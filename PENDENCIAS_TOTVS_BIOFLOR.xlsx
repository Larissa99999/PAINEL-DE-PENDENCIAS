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trole_NF - 2.0\painel_pendencias\"/>
    </mc:Choice>
  </mc:AlternateContent>
  <xr:revisionPtr revIDLastSave="0" documentId="13_ncr:1_{DFD19D58-0A93-4682-8924-1027B4F668CA}" xr6:coauthVersionLast="47" xr6:coauthVersionMax="47" xr10:uidLastSave="{00000000-0000-0000-0000-000000000000}"/>
  <bookViews>
    <workbookView xWindow="-28920" yWindow="-120" windowWidth="29040" windowHeight="15720" xr2:uid="{C471EACF-5D06-4AC2-B752-69A0BE9168F9}"/>
  </bookViews>
  <sheets>
    <sheet name="Planilha1" sheetId="1" r:id="rId1"/>
    <sheet name="valid" sheetId="2" r:id="rId2"/>
  </sheets>
  <definedNames>
    <definedName name="_xlnm._FilterDatabase" localSheetId="0" hidden="1">Planilha1!$A$1:$T$24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2" l="1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2" i="2"/>
</calcChain>
</file>

<file path=xl/sharedStrings.xml><?xml version="1.0" encoding="utf-8"?>
<sst xmlns="http://schemas.openxmlformats.org/spreadsheetml/2006/main" count="3358" uniqueCount="698">
  <si>
    <t>Tipo</t>
  </si>
  <si>
    <t>Nº Nota</t>
  </si>
  <si>
    <t>Fornecedor</t>
  </si>
  <si>
    <t>Dt Emissão</t>
  </si>
  <si>
    <t>Chave Sefaz</t>
  </si>
  <si>
    <t>Vencimento</t>
  </si>
  <si>
    <t>Dias</t>
  </si>
  <si>
    <t>Status SF1</t>
  </si>
  <si>
    <t>Nº PC</t>
  </si>
  <si>
    <t>Comprador</t>
  </si>
  <si>
    <t>Solicitante</t>
  </si>
  <si>
    <t>Dt Entrega PC</t>
  </si>
  <si>
    <t>Controle Ap.</t>
  </si>
  <si>
    <t>—</t>
  </si>
  <si>
    <t>andson.oliveira</t>
  </si>
  <si>
    <t>L</t>
  </si>
  <si>
    <t>043001</t>
  </si>
  <si>
    <t>otoniel.cruz</t>
  </si>
  <si>
    <t>IRMAOS SILVA S/A</t>
  </si>
  <si>
    <t>jose.marques</t>
  </si>
  <si>
    <t>NFe</t>
  </si>
  <si>
    <t>Pendente SF1</t>
  </si>
  <si>
    <t>KOMATSU FOREST IND E COM DE MAQUINAS FLO</t>
  </si>
  <si>
    <t>23</t>
  </si>
  <si>
    <t>004001</t>
  </si>
  <si>
    <t>daniela.fernandes</t>
  </si>
  <si>
    <t>038004</t>
  </si>
  <si>
    <t>Nat. Operação</t>
  </si>
  <si>
    <t>Tipo Oper.</t>
  </si>
  <si>
    <t>VENDA DE PRODUCAO DO ESTABELECIMENTO</t>
  </si>
  <si>
    <t>Saída</t>
  </si>
  <si>
    <t>Status Manual</t>
  </si>
  <si>
    <t>Filial NF</t>
  </si>
  <si>
    <t>MANG EXPRESS COMERCIO NORTE LTDA</t>
  </si>
  <si>
    <t>VENDA MERCADORIA DENTRO DO ESTADO</t>
  </si>
  <si>
    <t>10/05/2026</t>
  </si>
  <si>
    <t>08/05/2026</t>
  </si>
  <si>
    <t>01/05/2026</t>
  </si>
  <si>
    <t>22</t>
  </si>
  <si>
    <t>R$ 27.588,00</t>
  </si>
  <si>
    <t>001975</t>
  </si>
  <si>
    <t>R$ 4.398,00</t>
  </si>
  <si>
    <t>001976</t>
  </si>
  <si>
    <t>06/06/2026</t>
  </si>
  <si>
    <t>RENAUTO DIST. DE PECAS AUTOMOTIVAS LTDA</t>
  </si>
  <si>
    <t>VENDA DE MERCADORIA ADQUIRIDA OU RECEBID</t>
  </si>
  <si>
    <t>2105</t>
  </si>
  <si>
    <t>32260521012190004558550380000021051385626435</t>
  </si>
  <si>
    <t>VENDA DE MERCADORIA</t>
  </si>
  <si>
    <t>2106</t>
  </si>
  <si>
    <t>32260521012190004558550380000021061416747414</t>
  </si>
  <si>
    <t>5126</t>
  </si>
  <si>
    <t>D CAMINHO CAMINHOES LTDA</t>
  </si>
  <si>
    <t>35260534507958000357550010000051261553914988</t>
  </si>
  <si>
    <t>R$ 459,57</t>
  </si>
  <si>
    <t>VENDA OFICINA</t>
  </si>
  <si>
    <t>314356</t>
  </si>
  <si>
    <t>31260523194731000110550010003143561813374243</t>
  </si>
  <si>
    <t>13/06/2026</t>
  </si>
  <si>
    <t>001986</t>
  </si>
  <si>
    <t>18/05/2026</t>
  </si>
  <si>
    <t>Valor NF (R$)</t>
  </si>
  <si>
    <t>Filial PC</t>
  </si>
  <si>
    <t>Valor PC (R$)</t>
  </si>
  <si>
    <t>28/06/2026</t>
  </si>
  <si>
    <t>R$ 479,10</t>
  </si>
  <si>
    <t>01/06/2026</t>
  </si>
  <si>
    <t>16</t>
  </si>
  <si>
    <t>21</t>
  </si>
  <si>
    <t>21/05/2026</t>
  </si>
  <si>
    <t>19/05/2026</t>
  </si>
  <si>
    <t>19</t>
  </si>
  <si>
    <t>SRJ AUTOPECAS LTDA</t>
  </si>
  <si>
    <t>ana.souza</t>
  </si>
  <si>
    <t>5093</t>
  </si>
  <si>
    <t>35260534507958000357550010000050931084656717</t>
  </si>
  <si>
    <t>R$ 5.407,40</t>
  </si>
  <si>
    <t>002033</t>
  </si>
  <si>
    <t>12421</t>
  </si>
  <si>
    <t>31260521226895000157550010000124211127521005</t>
  </si>
  <si>
    <t>R$ 4.770,00</t>
  </si>
  <si>
    <t>002144</t>
  </si>
  <si>
    <t>1899</t>
  </si>
  <si>
    <t>31260542888362000100550010000018991580239119</t>
  </si>
  <si>
    <t>R$ 13.780,19</t>
  </si>
  <si>
    <t>VENDA DE MERCADORIA ADQUIRIDA OU RECEBIDA DE TERCEIROS</t>
  </si>
  <si>
    <t>002179</t>
  </si>
  <si>
    <t>R$ 1.719,34</t>
  </si>
  <si>
    <t>26/05/2026</t>
  </si>
  <si>
    <t>28/05/2026</t>
  </si>
  <si>
    <t>3</t>
  </si>
  <si>
    <t>25/06/2026</t>
  </si>
  <si>
    <t>002034</t>
  </si>
  <si>
    <t>R$ 398,00</t>
  </si>
  <si>
    <t>18/08/2026</t>
  </si>
  <si>
    <t>25/05/2026</t>
  </si>
  <si>
    <t>12842</t>
  </si>
  <si>
    <t>31260575173575002310550070000128421389695028</t>
  </si>
  <si>
    <t>R$ 25.384,15</t>
  </si>
  <si>
    <t>002193</t>
  </si>
  <si>
    <t>R$ 25.058,39</t>
  </si>
  <si>
    <t>55439</t>
  </si>
  <si>
    <t>Rech Agricola S/A</t>
  </si>
  <si>
    <t>42260510209063000378550010000554391696603722</t>
  </si>
  <si>
    <t>R$ 12.355,53</t>
  </si>
  <si>
    <t>002588</t>
  </si>
  <si>
    <t>R$ 291,65</t>
  </si>
  <si>
    <t>42622</t>
  </si>
  <si>
    <t>CASA DO FAZENDEIRO PRODUTOS AGROPECUARIOS LTDA</t>
  </si>
  <si>
    <t>31260517648973000134550020000426221486456500</t>
  </si>
  <si>
    <t>R$ 6.456,50</t>
  </si>
  <si>
    <t>VENDA</t>
  </si>
  <si>
    <t>001165</t>
  </si>
  <si>
    <t>1651</t>
  </si>
  <si>
    <t>INNOVA TRACTOR PECAS LTDA</t>
  </si>
  <si>
    <t>35260548893021000100550010000016511899333055</t>
  </si>
  <si>
    <t>R$ 5.222,40</t>
  </si>
  <si>
    <t>22/07/2026</t>
  </si>
  <si>
    <t>VENDA  FORA DO ESTADO</t>
  </si>
  <si>
    <t>002285</t>
  </si>
  <si>
    <t>MINAUTO MINAS AUTOMOVEIS LTDA</t>
  </si>
  <si>
    <t>05/07/2026</t>
  </si>
  <si>
    <t>VENCIDA 7d</t>
  </si>
  <si>
    <t>14/05/2026</t>
  </si>
  <si>
    <t>VENCIDA 4d</t>
  </si>
  <si>
    <t>12489</t>
  </si>
  <si>
    <t>31260521226895000157550010000124896892126026</t>
  </si>
  <si>
    <t>27/06/2026</t>
  </si>
  <si>
    <t>9000</t>
  </si>
  <si>
    <t>MANG MAC  AUTO MANGUEIRAS</t>
  </si>
  <si>
    <t>31260501694518000216550010000090001712590531</t>
  </si>
  <si>
    <t>R$ 185,00</t>
  </si>
  <si>
    <t>08/06/2026</t>
  </si>
  <si>
    <t>6</t>
  </si>
  <si>
    <t>VENDA DE MERCADORIA, ADQUIRIDA OU RECEBIDA DE TERCEIROS, SUJ</t>
  </si>
  <si>
    <t>009528</t>
  </si>
  <si>
    <t>20/05/2026</t>
  </si>
  <si>
    <t>19/07/2026</t>
  </si>
  <si>
    <t>13</t>
  </si>
  <si>
    <t>15</t>
  </si>
  <si>
    <t>97</t>
  </si>
  <si>
    <t>INDUSTRIA CERAMICA PADRE LIBERIO LTDA</t>
  </si>
  <si>
    <t>31260642040958000156550010000000971300710050</t>
  </si>
  <si>
    <t>R$ 3.000,00</t>
  </si>
  <si>
    <t>002581</t>
  </si>
  <si>
    <t>17</t>
  </si>
  <si>
    <t>12619</t>
  </si>
  <si>
    <t>SKALLA AUTO PECAS LTDA  EPP</t>
  </si>
  <si>
    <t>31260604715851000171550010000126191600717811</t>
  </si>
  <si>
    <t>R$ 330,50</t>
  </si>
  <si>
    <t>01/09/2026</t>
  </si>
  <si>
    <t>LANCAMENTO EFET.EM DECOR.DE ECF</t>
  </si>
  <si>
    <t>002215</t>
  </si>
  <si>
    <t>22/05/2026</t>
  </si>
  <si>
    <t>27/05/2026</t>
  </si>
  <si>
    <t>27647</t>
  </si>
  <si>
    <t>ROTARY AX IND. COM. EQUIP. FLORESTAIS LTDA</t>
  </si>
  <si>
    <t>29/05/2026</t>
  </si>
  <si>
    <t>41260503056815000180550010000276471444202954</t>
  </si>
  <si>
    <t>R$ 8.232,24</t>
  </si>
  <si>
    <t>VENDA INTERESTADUAL 12%</t>
  </si>
  <si>
    <t>002297</t>
  </si>
  <si>
    <t>R$ 7.851,98</t>
  </si>
  <si>
    <t>12483</t>
  </si>
  <si>
    <t>31260521226895000157550010000124831832126025</t>
  </si>
  <si>
    <t>R$ 2.710,20</t>
  </si>
  <si>
    <t>002293</t>
  </si>
  <si>
    <t>2419</t>
  </si>
  <si>
    <t>ENGEPECAS EQUIPAMENTOS LTDA</t>
  </si>
  <si>
    <t>31260505063653000648553020000024191365608532</t>
  </si>
  <si>
    <t>R$ 1.214,14</t>
  </si>
  <si>
    <t>26</t>
  </si>
  <si>
    <t>VENDA MERCAD</t>
  </si>
  <si>
    <t>104308</t>
  </si>
  <si>
    <t>07/07/2026</t>
  </si>
  <si>
    <t>35</t>
  </si>
  <si>
    <t>038003</t>
  </si>
  <si>
    <t>1231</t>
  </si>
  <si>
    <t>SUPREMA FONTES LTDA</t>
  </si>
  <si>
    <t>35260551925893000117550020000012311433100014</t>
  </si>
  <si>
    <t>R$ 199,99</t>
  </si>
  <si>
    <t>Venda de mercadoria para consumidor final</t>
  </si>
  <si>
    <t>7230</t>
  </si>
  <si>
    <t>TK SHOP COMERCIO ELETRONICO LTDA</t>
  </si>
  <si>
    <t>31260561769282000180550010000072301207378142</t>
  </si>
  <si>
    <t>R$ 411,85</t>
  </si>
  <si>
    <t>Venda de mercadorias</t>
  </si>
  <si>
    <t>ana</t>
  </si>
  <si>
    <t>11/05/2026</t>
  </si>
  <si>
    <t>4030</t>
  </si>
  <si>
    <t>WN PECAS DIESEL LTDA</t>
  </si>
  <si>
    <t>31260553975925000114550010000040306000035138</t>
  </si>
  <si>
    <t>R$ 4.612,00</t>
  </si>
  <si>
    <t>Venda de mercadoria adquirida ou re</t>
  </si>
  <si>
    <t>98416</t>
  </si>
  <si>
    <t>31260518524868000407550000000984161671819668</t>
  </si>
  <si>
    <t>R$ 1.235,85</t>
  </si>
  <si>
    <t>338543</t>
  </si>
  <si>
    <t>PAVEPE PARA DE MINAS VEICULOS E PECAS LTDA</t>
  </si>
  <si>
    <t>31260519807015000194550010003385431757302520</t>
  </si>
  <si>
    <t>R$ 4.557,54</t>
  </si>
  <si>
    <t>123172</t>
  </si>
  <si>
    <t>VIA TRUCKS COMERCIO DE CAMINHOES LTDA</t>
  </si>
  <si>
    <t>31260518489886000144551000001231721713917429</t>
  </si>
  <si>
    <t>R$ 4.887,36</t>
  </si>
  <si>
    <t>VENDA PECAS CONSUMIDOR FINAL</t>
  </si>
  <si>
    <t>166293</t>
  </si>
  <si>
    <t>1995673</t>
  </si>
  <si>
    <t>Mineração Belocal Ltda</t>
  </si>
  <si>
    <t>31260506730693000235550010019956731995965695</t>
  </si>
  <si>
    <t>R$ 28.671,18</t>
  </si>
  <si>
    <t>Venda produção do estabelecimento</t>
  </si>
  <si>
    <t>009111</t>
  </si>
  <si>
    <t>7784</t>
  </si>
  <si>
    <t>HOOK DO BRASIL SISTEMAS DE PESAGEM IND COM IMP EXP</t>
  </si>
  <si>
    <t>35260527200060000104550010000077841000042569</t>
  </si>
  <si>
    <t>R$ 15.943,05</t>
  </si>
  <si>
    <t>VENDA FORA DO ESTADO</t>
  </si>
  <si>
    <t>9084</t>
  </si>
  <si>
    <t>AUTO ELETRICA SILVA CAMPOS LTDA  ME</t>
  </si>
  <si>
    <t>02/04/2026</t>
  </si>
  <si>
    <t>31260400426475000144550010000090841730712717</t>
  </si>
  <si>
    <t>R$ 554,60</t>
  </si>
  <si>
    <t>02/05/2026</t>
  </si>
  <si>
    <t>VENDA DENTRO DO ESTADO</t>
  </si>
  <si>
    <t>12226</t>
  </si>
  <si>
    <t>14/04/2026</t>
  </si>
  <si>
    <t>31260421226895000157550010000122261262126021</t>
  </si>
  <si>
    <t>R$ 2.540,70</t>
  </si>
  <si>
    <t>001740</t>
  </si>
  <si>
    <t>12614</t>
  </si>
  <si>
    <t>29/04/2026</t>
  </si>
  <si>
    <t>31260475173575002310550070000126141956004737</t>
  </si>
  <si>
    <t>R$ 51.000,01</t>
  </si>
  <si>
    <t>VENCIDA 19d</t>
  </si>
  <si>
    <t>001821</t>
  </si>
  <si>
    <t>R$ 50.345,52</t>
  </si>
  <si>
    <t>22/04/2026</t>
  </si>
  <si>
    <t>3593</t>
  </si>
  <si>
    <t>01/04/2026</t>
  </si>
  <si>
    <t>31260453975925000114550010000035931000013760</t>
  </si>
  <si>
    <t>R$ 2.999,00</t>
  </si>
  <si>
    <t>12466</t>
  </si>
  <si>
    <t>31260521226895000157550010000124661662126010</t>
  </si>
  <si>
    <t>R$ 1.200,00</t>
  </si>
  <si>
    <t>18</t>
  </si>
  <si>
    <t>20</t>
  </si>
  <si>
    <t>12459</t>
  </si>
  <si>
    <t>07/04/2026</t>
  </si>
  <si>
    <t>31260475173575002310550070000124591481037297</t>
  </si>
  <si>
    <t>R$ 12.565,36</t>
  </si>
  <si>
    <t>06/07/2026</t>
  </si>
  <si>
    <t>001430</t>
  </si>
  <si>
    <t>34</t>
  </si>
  <si>
    <t>12696</t>
  </si>
  <si>
    <t>31260575173575002310550070000126961244160042</t>
  </si>
  <si>
    <t>OUTRA SAIDA DE MERCADORIA</t>
  </si>
  <si>
    <t>12690</t>
  </si>
  <si>
    <t>31260575173575002310550070000126901571457060</t>
  </si>
  <si>
    <t>12688</t>
  </si>
  <si>
    <t>31260575173575002310550070000126881304057500</t>
  </si>
  <si>
    <t>12695</t>
  </si>
  <si>
    <t>31260575173575002310550070000126951681078923</t>
  </si>
  <si>
    <t>31886</t>
  </si>
  <si>
    <t>CARGLASS</t>
  </si>
  <si>
    <t>31260568062827009209550010000318861219457499</t>
  </si>
  <si>
    <t>R$ 267,00</t>
  </si>
  <si>
    <t>038001</t>
  </si>
  <si>
    <t>OUTRA SAIDA DE MERC. OU PREST. SERV. NAO ESPECIFICADO</t>
  </si>
  <si>
    <t>222065</t>
  </si>
  <si>
    <t>12768</t>
  </si>
  <si>
    <t>31260575173575002310550070000127681040664230</t>
  </si>
  <si>
    <t>R$ 439,90</t>
  </si>
  <si>
    <t>051580</t>
  </si>
  <si>
    <t>43622</t>
  </si>
  <si>
    <t>BAMAQ SA BANDEIRANTES MAQUINAS EQUIPAMENTOS</t>
  </si>
  <si>
    <t>31260418209965000316550010000436221342253386</t>
  </si>
  <si>
    <t>R$ 500,75</t>
  </si>
  <si>
    <t>RETORNO REMESSA  ATEND. EM CAMPO (OS)</t>
  </si>
  <si>
    <t>Entrada</t>
  </si>
  <si>
    <t>684</t>
  </si>
  <si>
    <t>AMARAL E MELO SERVICOS E TRANSPORTES LTDA</t>
  </si>
  <si>
    <t>31260558374252000160550010000006841005120277</t>
  </si>
  <si>
    <t>R$ 704,42</t>
  </si>
  <si>
    <t>Saida em Peca em Garantia</t>
  </si>
  <si>
    <t>43621</t>
  </si>
  <si>
    <t>31260418209965000316550010000436211780679166</t>
  </si>
  <si>
    <t>REMESSA ATENDIMENTO EM CAMPO (O.S.)</t>
  </si>
  <si>
    <t>12781</t>
  </si>
  <si>
    <t>31260575173575002310550070000127811115434122</t>
  </si>
  <si>
    <t>R$ 1.189,34</t>
  </si>
  <si>
    <t>054948</t>
  </si>
  <si>
    <t>36616</t>
  </si>
  <si>
    <t>TECNOSUL COMPANY LTDA</t>
  </si>
  <si>
    <t>17/04/2026</t>
  </si>
  <si>
    <t>29260426037394000146550010000366161019012822</t>
  </si>
  <si>
    <t>R$ 2.619,00</t>
  </si>
  <si>
    <t>REMESSA DE MERC. PARA CONSERTO OU REPARO</t>
  </si>
  <si>
    <t>87131</t>
  </si>
  <si>
    <t>IRMAOS SILVA S.A</t>
  </si>
  <si>
    <t>31260521012190001451550080000871311640710709</t>
  </si>
  <si>
    <t>REM DEPOSITO FECHADO</t>
  </si>
  <si>
    <t>000001</t>
  </si>
  <si>
    <t>24347</t>
  </si>
  <si>
    <t>PREMOBRAS PREMOLDADOS</t>
  </si>
  <si>
    <t>32260530575864000100550010000243471118517256</t>
  </si>
  <si>
    <t>R$ 117.000,00</t>
  </si>
  <si>
    <t>REMESSA ENTREGA FUT C/IPI DESP AC</t>
  </si>
  <si>
    <t>3204</t>
  </si>
  <si>
    <t>TRITUCAP EQUIPAMENTOS AGRICOLAS LTDA</t>
  </si>
  <si>
    <t>30/04/2026</t>
  </si>
  <si>
    <t>35260441318850000110550000000032041324224109</t>
  </si>
  <si>
    <t>R$ 130.000,00</t>
  </si>
  <si>
    <t>VENDA DE PROD. ESTABELECIMENTO</t>
  </si>
  <si>
    <t>87133</t>
  </si>
  <si>
    <t>31260521012190001451550080000871331287496085</t>
  </si>
  <si>
    <t>7785</t>
  </si>
  <si>
    <t>35260527200060000104550010000077851000042574</t>
  </si>
  <si>
    <t>R$ 41.000,00</t>
  </si>
  <si>
    <t>RETORNO DE REMESSA DE CONSERTO</t>
  </si>
  <si>
    <t>59222</t>
  </si>
  <si>
    <t>ADUBOS REAL S.A.</t>
  </si>
  <si>
    <t>12/03/2026</t>
  </si>
  <si>
    <t>31260321437447004351550020000592221017948263</t>
  </si>
  <si>
    <t>R$ 113.472,60</t>
  </si>
  <si>
    <t>Venda merc.adq.receb.de terceiros</t>
  </si>
  <si>
    <t>61132</t>
  </si>
  <si>
    <t>16/04/2026</t>
  </si>
  <si>
    <t>31260421437447004351550020000611321305384162</t>
  </si>
  <si>
    <t>R$ 80.383,71</t>
  </si>
  <si>
    <t>60978</t>
  </si>
  <si>
    <t>31260421437447004351550020000609781773061166</t>
  </si>
  <si>
    <t>R$ 174.952,78</t>
  </si>
  <si>
    <t>VENCIDA 31d</t>
  </si>
  <si>
    <t>RECUSADA</t>
  </si>
  <si>
    <t>VENCIDA 18d</t>
  </si>
  <si>
    <t>PENDENTE RETORNO</t>
  </si>
  <si>
    <t>26624</t>
  </si>
  <si>
    <t>MANOS IMPLEMENTOS RODOVIARIOS</t>
  </si>
  <si>
    <t>42260581856510000167550010000266241517905280</t>
  </si>
  <si>
    <t>R$ 145.600,00</t>
  </si>
  <si>
    <t>VENCIDA 13d</t>
  </si>
  <si>
    <t>Venda de Producao do Estabelecimento</t>
  </si>
  <si>
    <t>000189</t>
  </si>
  <si>
    <t>26627</t>
  </si>
  <si>
    <t>42260581856510000167550010000266271110987529</t>
  </si>
  <si>
    <t>26631</t>
  </si>
  <si>
    <t>42260581856510000167550010000266311332932006</t>
  </si>
  <si>
    <t>26630</t>
  </si>
  <si>
    <t>42260581856510000167550010000266301329165590</t>
  </si>
  <si>
    <t>26635</t>
  </si>
  <si>
    <t>42260581856510000167550010000266351259648012</t>
  </si>
  <si>
    <t>R$ 145.009,96</t>
  </si>
  <si>
    <t>26625</t>
  </si>
  <si>
    <t>42260581856510000167550010000266251136168709</t>
  </si>
  <si>
    <t>26628</t>
  </si>
  <si>
    <t>42260581856510000167550010000266281674252178</t>
  </si>
  <si>
    <t>26626</t>
  </si>
  <si>
    <t>42260581856510000167550010000266261733530227</t>
  </si>
  <si>
    <t>26634</t>
  </si>
  <si>
    <t>42260581856510000167550010000266341797028591</t>
  </si>
  <si>
    <t>3196</t>
  </si>
  <si>
    <t>UAI MADEIRAS LTDA</t>
  </si>
  <si>
    <t>31260429976375000173550010000031961982157439</t>
  </si>
  <si>
    <t>R$ 18.259,95</t>
  </si>
  <si>
    <t>Venda de producao do estabelecimento</t>
  </si>
  <si>
    <t>CANCELADA</t>
  </si>
  <si>
    <t>000942</t>
  </si>
  <si>
    <t>26632</t>
  </si>
  <si>
    <t>42260581856510000167550010000266321723082873</t>
  </si>
  <si>
    <t>26633</t>
  </si>
  <si>
    <t>42260581856510000167550010000266331923121616</t>
  </si>
  <si>
    <t>26629</t>
  </si>
  <si>
    <t>42260581856510000167550010000266291941731533</t>
  </si>
  <si>
    <t>20784</t>
  </si>
  <si>
    <t>TERRA PNEUS LTDA  ME</t>
  </si>
  <si>
    <t>31260410548506000193550010000207841195210792</t>
  </si>
  <si>
    <t>R$ 8.600,00</t>
  </si>
  <si>
    <t>VENCIDA 11d</t>
  </si>
  <si>
    <t>001066</t>
  </si>
  <si>
    <t>1127</t>
  </si>
  <si>
    <t>M.MARIANO COELHO COMERCIO DE PECAS</t>
  </si>
  <si>
    <t>06/05/2026</t>
  </si>
  <si>
    <t>35260531944198000195550010000011271319444320</t>
  </si>
  <si>
    <t>R$ 1.020,00</t>
  </si>
  <si>
    <t>04/06/2026</t>
  </si>
  <si>
    <t>VENCIDA 9d</t>
  </si>
  <si>
    <t>VENDA MERCADORIA</t>
  </si>
  <si>
    <t>PENDENTE LANÇAMENTO</t>
  </si>
  <si>
    <t>001955</t>
  </si>
  <si>
    <t>R$ 900,00</t>
  </si>
  <si>
    <t>VENCIDA 1d</t>
  </si>
  <si>
    <t>5302</t>
  </si>
  <si>
    <t>35260534507958000357550010000053021464650348</t>
  </si>
  <si>
    <t>19/06/2026</t>
  </si>
  <si>
    <t>DEVOLUCAO DE VENDA PECAS OFICINA</t>
  </si>
  <si>
    <t>DEVOLUÇÃO</t>
  </si>
  <si>
    <t>26741</t>
  </si>
  <si>
    <t>42260581856510000167550010000267411378673900</t>
  </si>
  <si>
    <t>21/07/2026</t>
  </si>
  <si>
    <t>49</t>
  </si>
  <si>
    <t>PENDENTES PC E RETIRADA</t>
  </si>
  <si>
    <t>26744</t>
  </si>
  <si>
    <t>42260581856510000167550010000267441921112384</t>
  </si>
  <si>
    <t>26745</t>
  </si>
  <si>
    <t>42260581856510000167550010000267451843115292</t>
  </si>
  <si>
    <t>26748</t>
  </si>
  <si>
    <t>42260581856510000167550010000267481284382245</t>
  </si>
  <si>
    <t>26751</t>
  </si>
  <si>
    <t>42260581856510000167550010000267511616667470</t>
  </si>
  <si>
    <t>26752</t>
  </si>
  <si>
    <t>42260581856510000167550010000267521996026819</t>
  </si>
  <si>
    <t>26750</t>
  </si>
  <si>
    <t>42260581856510000167550010000267501679592224</t>
  </si>
  <si>
    <t>26742</t>
  </si>
  <si>
    <t>42260581856510000167550010000267421929679974</t>
  </si>
  <si>
    <t>26747</t>
  </si>
  <si>
    <t>42260581856510000167550010000267471358045690</t>
  </si>
  <si>
    <t>26746</t>
  </si>
  <si>
    <t>42260581856510000167550010000267461425622080</t>
  </si>
  <si>
    <t>26743</t>
  </si>
  <si>
    <t>42260581856510000167550010000267431433132346</t>
  </si>
  <si>
    <t>26749</t>
  </si>
  <si>
    <t>42260581856510000167550010000267491383161503</t>
  </si>
  <si>
    <t>12344</t>
  </si>
  <si>
    <t>03/03/2026</t>
  </si>
  <si>
    <t>31260304715851000171550010000123441053409199</t>
  </si>
  <si>
    <t>R$ 100,00</t>
  </si>
  <si>
    <t>043003</t>
  </si>
  <si>
    <t>DEV. DE VENDA DE MERC. ADQUIRIDA OU RECEBIDA DE TERCEIROS</t>
  </si>
  <si>
    <t>12345</t>
  </si>
  <si>
    <t>31260304715851000171550010000123451558391111</t>
  </si>
  <si>
    <t>R$ 121,00</t>
  </si>
  <si>
    <t>PENDENTE PC_MERCADO LIVRE</t>
  </si>
  <si>
    <t>4485</t>
  </si>
  <si>
    <t>11/03/2026</t>
  </si>
  <si>
    <t>35260334507958000357550010000044851026144421</t>
  </si>
  <si>
    <t>R$ 293,54</t>
  </si>
  <si>
    <t>ENTRADA DE PECAS DEFEITUOSA EM GARANTIA</t>
  </si>
  <si>
    <t>DESCONHECIMENTO DA OPERAÇÃO</t>
  </si>
  <si>
    <t>85005</t>
  </si>
  <si>
    <t>CWA INDUSTRIA DE EUCALIPTO IMUNIZADO LTD</t>
  </si>
  <si>
    <t>10/03/2026</t>
  </si>
  <si>
    <t>31260306144818000164550010000850051031353304</t>
  </si>
  <si>
    <t>R$ 4.500,00</t>
  </si>
  <si>
    <t>VENDA DE MERCADORIA ADQUIRIDA</t>
  </si>
  <si>
    <t>1793</t>
  </si>
  <si>
    <t>MATERIAIS DE CONSTRUCAO NOVO LAR S &amp; S</t>
  </si>
  <si>
    <t>11/04/2026</t>
  </si>
  <si>
    <t>31260432897321000127550020000017931644435250</t>
  </si>
  <si>
    <t>R$ 2.432,50</t>
  </si>
  <si>
    <t>DEVOLUCAO DE VENDA MERCADORIA SUJEI ST</t>
  </si>
  <si>
    <t>1749</t>
  </si>
  <si>
    <t>QUALITY GLOBAL PECAS E SERVICOS LTDA</t>
  </si>
  <si>
    <t>04/03/2026</t>
  </si>
  <si>
    <t>31260321970997000263550010000017491725978620</t>
  </si>
  <si>
    <t>R$ 2.614,40</t>
  </si>
  <si>
    <t>Devolucao de Venda de Producao do Estabelecimento</t>
  </si>
  <si>
    <t>84903</t>
  </si>
  <si>
    <t>05/03/2026</t>
  </si>
  <si>
    <t>31260306144818000164550010000849031019014678</t>
  </si>
  <si>
    <t>R$ 3.874,74</t>
  </si>
  <si>
    <t>12343</t>
  </si>
  <si>
    <t>31260304715851000171550010000123431935371745</t>
  </si>
  <si>
    <t>R$ 5.883,19</t>
  </si>
  <si>
    <t>84907</t>
  </si>
  <si>
    <t>31260306144818000164550010000849071719706768</t>
  </si>
  <si>
    <t>R$ 4.840,94</t>
  </si>
  <si>
    <t>26730</t>
  </si>
  <si>
    <t>42260581856510000167550010000267301472545518</t>
  </si>
  <si>
    <t>26731</t>
  </si>
  <si>
    <t>42260581856510000167550010000267311969731825</t>
  </si>
  <si>
    <t>3221</t>
  </si>
  <si>
    <t>07/05/2026</t>
  </si>
  <si>
    <t>35260541318850000110550000000032211659741967</t>
  </si>
  <si>
    <t>Devolucao de venda</t>
  </si>
  <si>
    <t>85006</t>
  </si>
  <si>
    <t>31260306144818000164550010000850061992641524</t>
  </si>
  <si>
    <t>R$ 6.596,47</t>
  </si>
  <si>
    <t>85004</t>
  </si>
  <si>
    <t>31260306144818000164550010000850041448370266</t>
  </si>
  <si>
    <t>R$ 7.638,00</t>
  </si>
  <si>
    <t>12350</t>
  </si>
  <si>
    <t>31260304715851000171550010000123501993582723</t>
  </si>
  <si>
    <t>R$ 8.361,48</t>
  </si>
  <si>
    <t>85007</t>
  </si>
  <si>
    <t>31260306144818000164550010000850071231366722</t>
  </si>
  <si>
    <t>R$ 9.283,70</t>
  </si>
  <si>
    <t>84954</t>
  </si>
  <si>
    <t>09/03/2026</t>
  </si>
  <si>
    <t>31260306144818000164550010000849541030557037</t>
  </si>
  <si>
    <t>R$ 21.318,66</t>
  </si>
  <si>
    <t>12519</t>
  </si>
  <si>
    <t>31260475173575002310550070000125191391183286</t>
  </si>
  <si>
    <t>DEVOLUCAO DE VENDA DE PRODUCAO DO ESTABELECIMENTO</t>
  </si>
  <si>
    <t>84963</t>
  </si>
  <si>
    <t>31260306144818000164550010000849631462911045</t>
  </si>
  <si>
    <t>R$ 20.536,11</t>
  </si>
  <si>
    <t>84876</t>
  </si>
  <si>
    <t>31260306144818000164550010000848761581493070</t>
  </si>
  <si>
    <t>R$ 19.199,79</t>
  </si>
  <si>
    <t>84970</t>
  </si>
  <si>
    <t>31260306144818000164550010000849701363266804</t>
  </si>
  <si>
    <t>R$ 21.481,83</t>
  </si>
  <si>
    <t>85414</t>
  </si>
  <si>
    <t>31260406144818000164550010000854141257981726</t>
  </si>
  <si>
    <t>R$ 21.361,95</t>
  </si>
  <si>
    <t>84953</t>
  </si>
  <si>
    <t>31260306144818000164550010000849531448597758</t>
  </si>
  <si>
    <t>R$ 20.562,75</t>
  </si>
  <si>
    <t>84956</t>
  </si>
  <si>
    <t>31260306144818000164550010000849561428033222</t>
  </si>
  <si>
    <t>R$ 21.225,42</t>
  </si>
  <si>
    <t>84906</t>
  </si>
  <si>
    <t>31260306144818000164550010000849061859932712</t>
  </si>
  <si>
    <t>R$ 21.878,31</t>
  </si>
  <si>
    <t>85507</t>
  </si>
  <si>
    <t>31260406144818000164550010000855071453377985</t>
  </si>
  <si>
    <t>R$ 22.117,86</t>
  </si>
  <si>
    <t>26729</t>
  </si>
  <si>
    <t>42260581856510000167550010000267291651447587</t>
  </si>
  <si>
    <t>26738</t>
  </si>
  <si>
    <t>42260581856510000167550010000267381629630055</t>
  </si>
  <si>
    <t>59888</t>
  </si>
  <si>
    <t>24/03/2026</t>
  </si>
  <si>
    <t>31260321437447004351550020000598881353593020</t>
  </si>
  <si>
    <t>Dev. venda de merc. adquirida ou receb. terceiros</t>
  </si>
  <si>
    <t>26739</t>
  </si>
  <si>
    <t>42260581856510000167550010000267391589666353</t>
  </si>
  <si>
    <t>26732</t>
  </si>
  <si>
    <t>42260581856510000167550010000267321286859839</t>
  </si>
  <si>
    <t>26728</t>
  </si>
  <si>
    <t>42260581856510000167550010000267281948191990</t>
  </si>
  <si>
    <t>26737</t>
  </si>
  <si>
    <t>42260581856510000167550010000267371556287219</t>
  </si>
  <si>
    <t>26736</t>
  </si>
  <si>
    <t>42260581856510000167550010000267361484950831</t>
  </si>
  <si>
    <t>26734</t>
  </si>
  <si>
    <t>42260581856510000167550010000267341355715602</t>
  </si>
  <si>
    <t>26735</t>
  </si>
  <si>
    <t>42260581856510000167550010000267351544452193</t>
  </si>
  <si>
    <t>26733</t>
  </si>
  <si>
    <t>42260581856510000167550010000267331991665419</t>
  </si>
  <si>
    <t>455</t>
  </si>
  <si>
    <t>MERCEARIA FERREIRAO CONSTRULAR</t>
  </si>
  <si>
    <t>09/04/2026</t>
  </si>
  <si>
    <t>31260401754763000433550010000004551181950955</t>
  </si>
  <si>
    <t>R$ 2.560,75</t>
  </si>
  <si>
    <t>5102/5405 VENDA MERC. DENT. ESTADO</t>
  </si>
  <si>
    <t>ND REFORMA</t>
  </si>
  <si>
    <t>73043</t>
  </si>
  <si>
    <t>POSTO SANTA EDWIGES PETROLEO LTDA  FILIAL JUA</t>
  </si>
  <si>
    <t>31260419848233000339550010000730431006417553</t>
  </si>
  <si>
    <t>R$ 22,73</t>
  </si>
  <si>
    <t>038002</t>
  </si>
  <si>
    <t>VENDAS REF A CUPONS FISCAISECFLANCAMENTO EFETUADO EM DECOR</t>
  </si>
  <si>
    <t>NOTA POSTO</t>
  </si>
  <si>
    <t>283873</t>
  </si>
  <si>
    <t>REDE DE POSTOS MARAJO CENTRALINA LTDA</t>
  </si>
  <si>
    <t>31260324187119000183550540002838731490216599</t>
  </si>
  <si>
    <t>R$ 56,98</t>
  </si>
  <si>
    <t>VENDA DE COMBUSTIVEL</t>
  </si>
  <si>
    <t>154282</t>
  </si>
  <si>
    <t>POSTO SANTA EDWIGES PETROLEO LTDA  FILIAL JK</t>
  </si>
  <si>
    <t>31260319848233000762550010001542821010768167</t>
  </si>
  <si>
    <t>R$ 60,47</t>
  </si>
  <si>
    <t>72516</t>
  </si>
  <si>
    <t>19/03/2026</t>
  </si>
  <si>
    <t>31260319848233000339550010000725161006388016</t>
  </si>
  <si>
    <t>R$ 95,59</t>
  </si>
  <si>
    <t>506883</t>
  </si>
  <si>
    <t>REDE DE POSTOS MARAJO CUIABA LTDA</t>
  </si>
  <si>
    <t>07/03/2026</t>
  </si>
  <si>
    <t>51260325152779000191550540005068831310411386</t>
  </si>
  <si>
    <t>R$ 101,88</t>
  </si>
  <si>
    <t>9252371</t>
  </si>
  <si>
    <t>POSTO SANTA EDWIGES PETROLEO LTDA  FILIAL CX1</t>
  </si>
  <si>
    <t>31260319848233000177550010092523711012618168</t>
  </si>
  <si>
    <t>R$ 97,21</t>
  </si>
  <si>
    <t>74503</t>
  </si>
  <si>
    <t>31260519848233000339550010000745031006484161</t>
  </si>
  <si>
    <t>R$ 107,26</t>
  </si>
  <si>
    <t>9257616</t>
  </si>
  <si>
    <t>10/04/2026</t>
  </si>
  <si>
    <t>31260419848233000177550010092576161012812690</t>
  </si>
  <si>
    <t>R$ 105,11</t>
  </si>
  <si>
    <t>36493</t>
  </si>
  <si>
    <t>POSTO SANTA EDWIGES PETROLEO LTDA  FILIAL CURVELO</t>
  </si>
  <si>
    <t>30/05/2026</t>
  </si>
  <si>
    <t>31260519848233001734550010000364931006663859</t>
  </si>
  <si>
    <t>R$ 111,62</t>
  </si>
  <si>
    <t>LARISSA TRATAR</t>
  </si>
  <si>
    <t>GARANTIA</t>
  </si>
  <si>
    <t>506881</t>
  </si>
  <si>
    <t>51260325152779000191550540005068811546149850</t>
  </si>
  <si>
    <t>R$ 3.687,26</t>
  </si>
  <si>
    <t>POSTO</t>
  </si>
  <si>
    <t>006057</t>
  </si>
  <si>
    <t>283882</t>
  </si>
  <si>
    <t>31260324187119000183550540002838821444510616</t>
  </si>
  <si>
    <t>R$ 2.210,40</t>
  </si>
  <si>
    <t>154281</t>
  </si>
  <si>
    <t>31260319848233000762550010001542811010768143</t>
  </si>
  <si>
    <t>R$ 4.797,65</t>
  </si>
  <si>
    <t>72515</t>
  </si>
  <si>
    <t>31260319848233000339550010000725151006387993</t>
  </si>
  <si>
    <t>R$ 4.459,10</t>
  </si>
  <si>
    <t>73042</t>
  </si>
  <si>
    <t>31260419848233000339550010000730421006417530</t>
  </si>
  <si>
    <t>R$ 4.381,51</t>
  </si>
  <si>
    <t>OTONIEL</t>
  </si>
  <si>
    <t>74502</t>
  </si>
  <si>
    <t>31260519848233000339550010000745021006484148</t>
  </si>
  <si>
    <t>R$ 5.879,00</t>
  </si>
  <si>
    <t>36492</t>
  </si>
  <si>
    <t>31260519848233001734550010000364921006663835</t>
  </si>
  <si>
    <t>R$ 5.843,64</t>
  </si>
  <si>
    <t>9252370</t>
  </si>
  <si>
    <t>31260319848233000177550010092523701012618144</t>
  </si>
  <si>
    <t>R$ 4.946,72</t>
  </si>
  <si>
    <t>9257615</t>
  </si>
  <si>
    <t>31260419848233000177550010092576151012812677</t>
  </si>
  <si>
    <t>R$ 4.850,57</t>
  </si>
  <si>
    <t>2220</t>
  </si>
  <si>
    <t>Great Wall Motor Brasil LTDA</t>
  </si>
  <si>
    <t>31260442611727002280550020000022201518295721</t>
  </si>
  <si>
    <t>R$ 202.400,00</t>
  </si>
  <si>
    <t>Vnd mer.adq.rec.ter.op.mer.sj.rg.sub.trb.cnd.sub.t</t>
  </si>
  <si>
    <t>2238</t>
  </si>
  <si>
    <t>31260442611727002280550020000022381830481467</t>
  </si>
  <si>
    <t>R$ 220.800,00</t>
  </si>
  <si>
    <t>CONCAT VALID</t>
  </si>
  <si>
    <t>NFSe</t>
  </si>
  <si>
    <t>50280</t>
  </si>
  <si>
    <t>UNIMED MONTES CLAROS COOPERATIVA TRABALHO MEDICO LTDA</t>
  </si>
  <si>
    <t>R$ 744,24</t>
  </si>
  <si>
    <t>HOJE</t>
  </si>
  <si>
    <t>003001</t>
  </si>
  <si>
    <t>000183</t>
  </si>
  <si>
    <t>igor.costa</t>
  </si>
  <si>
    <t>50279</t>
  </si>
  <si>
    <t>R$ 7.975,72</t>
  </si>
  <si>
    <t>001196</t>
  </si>
  <si>
    <t>50465</t>
  </si>
  <si>
    <t>50466</t>
  </si>
  <si>
    <t>50278</t>
  </si>
  <si>
    <t>R$ 6.139,98</t>
  </si>
  <si>
    <t>1</t>
  </si>
  <si>
    <t>002604</t>
  </si>
  <si>
    <t>50464</t>
  </si>
  <si>
    <t>504</t>
  </si>
  <si>
    <t>SRS EMPREENDIMENTOS ABAETE LTDA</t>
  </si>
  <si>
    <t>R$ 120,00</t>
  </si>
  <si>
    <t>7</t>
  </si>
  <si>
    <t>000182</t>
  </si>
  <si>
    <t>fabio.costa</t>
  </si>
  <si>
    <t>14689</t>
  </si>
  <si>
    <t>CONTATO SEGURO PREVENCAO DE RISCOS EMPRESARIAIS S.A.</t>
  </si>
  <si>
    <t>06/04/2026</t>
  </si>
  <si>
    <t>R$ 220,67</t>
  </si>
  <si>
    <t>002611</t>
  </si>
  <si>
    <t>graziela.silva</t>
  </si>
  <si>
    <t>03/06/2026</t>
  </si>
  <si>
    <t>442</t>
  </si>
  <si>
    <t>14.924.249 ELTON SANTANA GONCALVES</t>
  </si>
  <si>
    <t>02/06/2026</t>
  </si>
  <si>
    <t>R$ 1.900,00</t>
  </si>
  <si>
    <t>9</t>
  </si>
  <si>
    <t>002601</t>
  </si>
  <si>
    <t>23/06/2026</t>
  </si>
  <si>
    <t>24752</t>
  </si>
  <si>
    <t>D E M SINALIZACAO LTDA</t>
  </si>
  <si>
    <t>31260608909766000103550010000247521602434289</t>
  </si>
  <si>
    <t>R$ 29.265,00</t>
  </si>
  <si>
    <t>01/07/2026</t>
  </si>
  <si>
    <t>002224</t>
  </si>
  <si>
    <t>R$ 29.865,00</t>
  </si>
  <si>
    <t>B</t>
  </si>
  <si>
    <t>26/06/2026</t>
  </si>
  <si>
    <t>29/06/2026</t>
  </si>
  <si>
    <t>937972</t>
  </si>
  <si>
    <t>UNIMED BELO HORIZONTE COOPERATIVA DE TRABALHO MEDICO</t>
  </si>
  <si>
    <t>R$ 71,62</t>
  </si>
  <si>
    <t>482</t>
  </si>
  <si>
    <t>AVSYSTEMGEO TECNOLOGIA DA INFORMACAO LTDA</t>
  </si>
  <si>
    <t>05/06/2026</t>
  </si>
  <si>
    <t>R$ 382,16</t>
  </si>
  <si>
    <t>126</t>
  </si>
  <si>
    <t>RI SOLUCOES DIGITAIS LTDA</t>
  </si>
  <si>
    <t>R$ 322,01</t>
  </si>
  <si>
    <t>431</t>
  </si>
  <si>
    <t>06/03/2026</t>
  </si>
  <si>
    <t>R$ 133,80</t>
  </si>
  <si>
    <t>963</t>
  </si>
  <si>
    <t>ORGTEC ASSESSORIA EM TRANSPORTES ESPECIAIS LTDA</t>
  </si>
  <si>
    <t>R$ 14.354,07</t>
  </si>
  <si>
    <t>55.965.001 MICHELE NEVES DELFINO</t>
  </si>
  <si>
    <t>R$ 520,00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</si>
</sst>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10" x14ac:knownFonts="1">
    <font>
      <sz val="11"/>
      <color theme="1"/>
      <name val="Aptos Narrow"/>
      <family val="2"/>
      <scheme val="minor"/>
    </font>
    <font>
      <b/>
      <sz val="9"/>
      <color rgb="FFFFFFFF"/>
      <name val="Calibri"/>
      <family val="2"/>
    </font>
    <font>
      <sz val="9"/>
      <color rgb="FFFFFFFF"/>
      <name val="Calibri"/>
      <family val="2"/>
    </font>
    <font>
      <b/>
      <sz val="9"/>
      <color rgb="FF155724"/>
      <name val="Calibri"/>
      <family val="2"/>
    </font>
    <font>
      <sz val="9"/>
      <color rgb="FF8B0000"/>
      <name val="Calibri"/>
      <family val="2"/>
    </font>
    <font>
      <sz val="9"/>
      <color rgb="FF000000"/>
      <name val="Calibri"/>
      <family val="2"/>
    </font>
    <font>
      <sz val="9"/>
      <color rgb="FF375623"/>
      <name val="Calibri"/>
      <family val="2"/>
    </font>
    <font>
      <sz val="9"/>
      <name val="Calibri"/>
      <family val="2"/>
    </font>
    <font>
      <sz val="9"/>
      <color rgb="FF7B6000"/>
      <name val="Calibri"/>
      <family val="2"/>
    </font>
    <font>
      <b/>
      <sz val="9"/>
      <color rgb="FF0C546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2E5E99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D4EDDA"/>
      </patternFill>
    </fill>
    <fill>
      <patternFill patternType="solid">
        <fgColor rgb="FFFFCCCC"/>
      </patternFill>
    </fill>
    <fill>
      <patternFill patternType="solid">
        <fgColor rgb="FFFFE0E0"/>
      </patternFill>
    </fill>
    <fill>
      <patternFill patternType="solid">
        <fgColor rgb="FFD1ECF1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14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right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right" vertical="center"/>
    </xf>
    <xf numFmtId="8" fontId="5" fillId="4" borderId="1" xfId="0" applyNumberFormat="1" applyFont="1" applyFill="1" applyBorder="1" applyAlignment="1">
      <alignment horizontal="right" vertical="center"/>
    </xf>
    <xf numFmtId="0" fontId="1" fillId="2" borderId="2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right" vertical="center"/>
    </xf>
    <xf numFmtId="0" fontId="0" fillId="11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D8DE6-E0AD-4EC4-ABEF-FC9321AB7545}">
  <dimension ref="A1:T30"/>
  <sheetViews>
    <sheetView tabSelected="1" workbookViewId="0">
      <selection activeCell="C32" sqref="C32"/>
    </sheetView>
  </sheetViews>
  <sheetFormatPr defaultRowHeight="15" x14ac:dyDescent="0.25"/>
  <cols>
    <col min="1" max="1" width="8.7109375" bestFit="1" customWidth="1"/>
    <col min="2" max="2" width="11.28515625" bestFit="1" customWidth="1"/>
    <col min="3" max="3" width="24.85546875" customWidth="1"/>
    <col min="4" max="4" width="20" customWidth="1"/>
    <col min="5" max="5" width="19" customWidth="1"/>
    <col min="6" max="6" width="13.28515625" customWidth="1"/>
    <col min="7" max="7" width="9.42578125" customWidth="1"/>
    <col min="8" max="8" width="10.7109375" customWidth="1"/>
    <col min="9" max="9" width="12.85546875" bestFit="1" customWidth="1"/>
    <col min="10" max="10" width="41.7109375" customWidth="1"/>
    <col min="11" max="11" width="10" customWidth="1"/>
    <col min="12" max="12" width="13.42578125" bestFit="1" customWidth="1"/>
    <col min="13" max="13" width="15.7109375" bestFit="1" customWidth="1"/>
    <col min="14" max="14" width="10.7109375" style="1" bestFit="1" customWidth="1"/>
    <col min="15" max="15" width="14.140625" bestFit="1" customWidth="1"/>
    <col min="16" max="17" width="52" bestFit="1" customWidth="1"/>
    <col min="18" max="18" width="11.42578125" bestFit="1" customWidth="1"/>
    <col min="20" max="20" width="14.42578125" customWidth="1"/>
  </cols>
  <sheetData>
    <row r="1" spans="1:20" ht="18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61</v>
      </c>
      <c r="G1" s="2" t="s">
        <v>5</v>
      </c>
      <c r="H1" s="2" t="s">
        <v>6</v>
      </c>
      <c r="I1" s="2" t="s">
        <v>32</v>
      </c>
      <c r="J1" s="2" t="s">
        <v>27</v>
      </c>
      <c r="K1" s="2" t="s">
        <v>7</v>
      </c>
      <c r="L1" s="2" t="s">
        <v>31</v>
      </c>
      <c r="M1" s="2" t="s">
        <v>62</v>
      </c>
      <c r="N1" s="2" t="s">
        <v>8</v>
      </c>
      <c r="O1" s="2" t="s">
        <v>63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28</v>
      </c>
    </row>
    <row r="2" spans="1:20" ht="15" customHeight="1" x14ac:dyDescent="0.25">
      <c r="A2" s="3" t="s">
        <v>632</v>
      </c>
      <c r="B2" s="3" t="s">
        <v>633</v>
      </c>
      <c r="C2" s="4" t="s">
        <v>634</v>
      </c>
      <c r="D2" s="3" t="s">
        <v>154</v>
      </c>
      <c r="E2" s="4" t="s">
        <v>13</v>
      </c>
      <c r="F2" s="5" t="s">
        <v>635</v>
      </c>
      <c r="G2" s="3" t="s">
        <v>13</v>
      </c>
      <c r="H2" s="3" t="s">
        <v>636</v>
      </c>
      <c r="I2" s="3" t="s">
        <v>637</v>
      </c>
      <c r="J2" s="4" t="s">
        <v>13</v>
      </c>
      <c r="K2" s="3" t="s">
        <v>21</v>
      </c>
      <c r="L2" s="3" t="s">
        <v>13</v>
      </c>
      <c r="M2" s="3" t="s">
        <v>637</v>
      </c>
      <c r="N2" s="3" t="s">
        <v>638</v>
      </c>
      <c r="O2" s="5" t="s">
        <v>635</v>
      </c>
      <c r="P2" s="4" t="s">
        <v>639</v>
      </c>
      <c r="Q2" s="4" t="s">
        <v>13</v>
      </c>
      <c r="R2" s="3" t="s">
        <v>157</v>
      </c>
      <c r="S2" s="6" t="s">
        <v>15</v>
      </c>
      <c r="T2" s="3" t="s">
        <v>13</v>
      </c>
    </row>
    <row r="3" spans="1:20" ht="15" customHeight="1" x14ac:dyDescent="0.25">
      <c r="A3" s="3" t="s">
        <v>632</v>
      </c>
      <c r="B3" s="3" t="s">
        <v>640</v>
      </c>
      <c r="C3" s="4" t="s">
        <v>634</v>
      </c>
      <c r="D3" s="3" t="s">
        <v>154</v>
      </c>
      <c r="E3" s="4" t="s">
        <v>13</v>
      </c>
      <c r="F3" s="5" t="s">
        <v>641</v>
      </c>
      <c r="G3" s="3" t="s">
        <v>13</v>
      </c>
      <c r="H3" s="3" t="s">
        <v>636</v>
      </c>
      <c r="I3" s="3" t="s">
        <v>24</v>
      </c>
      <c r="J3" s="4" t="s">
        <v>13</v>
      </c>
      <c r="K3" s="3" t="s">
        <v>21</v>
      </c>
      <c r="L3" s="3" t="s">
        <v>13</v>
      </c>
      <c r="M3" s="3" t="s">
        <v>24</v>
      </c>
      <c r="N3" s="3" t="s">
        <v>642</v>
      </c>
      <c r="O3" s="5" t="s">
        <v>641</v>
      </c>
      <c r="P3" s="4" t="s">
        <v>639</v>
      </c>
      <c r="Q3" s="4" t="s">
        <v>13</v>
      </c>
      <c r="R3" s="3" t="s">
        <v>157</v>
      </c>
      <c r="S3" s="6" t="s">
        <v>15</v>
      </c>
      <c r="T3" s="3" t="s">
        <v>13</v>
      </c>
    </row>
    <row r="4" spans="1:20" ht="15" customHeight="1" x14ac:dyDescent="0.25">
      <c r="A4" s="3" t="s">
        <v>632</v>
      </c>
      <c r="B4" s="3" t="s">
        <v>643</v>
      </c>
      <c r="C4" s="4" t="s">
        <v>634</v>
      </c>
      <c r="D4" s="3" t="s">
        <v>89</v>
      </c>
      <c r="E4" s="4" t="s">
        <v>13</v>
      </c>
      <c r="F4" s="5" t="s">
        <v>641</v>
      </c>
      <c r="G4" s="3" t="s">
        <v>13</v>
      </c>
      <c r="H4" s="3" t="s">
        <v>636</v>
      </c>
      <c r="I4" s="3" t="s">
        <v>24</v>
      </c>
      <c r="J4" s="4" t="s">
        <v>13</v>
      </c>
      <c r="K4" s="3" t="s">
        <v>21</v>
      </c>
      <c r="L4" s="3" t="s">
        <v>13</v>
      </c>
      <c r="M4" s="3" t="s">
        <v>24</v>
      </c>
      <c r="N4" s="3" t="s">
        <v>642</v>
      </c>
      <c r="O4" s="5" t="s">
        <v>641</v>
      </c>
      <c r="P4" s="4" t="s">
        <v>639</v>
      </c>
      <c r="Q4" s="4" t="s">
        <v>13</v>
      </c>
      <c r="R4" s="3" t="s">
        <v>157</v>
      </c>
      <c r="S4" s="6" t="s">
        <v>15</v>
      </c>
      <c r="T4" s="3" t="s">
        <v>13</v>
      </c>
    </row>
    <row r="5" spans="1:20" ht="15" customHeight="1" x14ac:dyDescent="0.25">
      <c r="A5" s="3" t="s">
        <v>632</v>
      </c>
      <c r="B5" s="3" t="s">
        <v>644</v>
      </c>
      <c r="C5" s="4" t="s">
        <v>634</v>
      </c>
      <c r="D5" s="3" t="s">
        <v>89</v>
      </c>
      <c r="E5" s="4" t="s">
        <v>13</v>
      </c>
      <c r="F5" s="5" t="s">
        <v>635</v>
      </c>
      <c r="G5" s="3" t="s">
        <v>13</v>
      </c>
      <c r="H5" s="3" t="s">
        <v>636</v>
      </c>
      <c r="I5" s="3" t="s">
        <v>637</v>
      </c>
      <c r="J5" s="4" t="s">
        <v>13</v>
      </c>
      <c r="K5" s="3" t="s">
        <v>21</v>
      </c>
      <c r="L5" s="3" t="s">
        <v>13</v>
      </c>
      <c r="M5" s="3" t="s">
        <v>637</v>
      </c>
      <c r="N5" s="3" t="s">
        <v>638</v>
      </c>
      <c r="O5" s="5" t="s">
        <v>635</v>
      </c>
      <c r="P5" s="4" t="s">
        <v>639</v>
      </c>
      <c r="Q5" s="4" t="s">
        <v>13</v>
      </c>
      <c r="R5" s="3" t="s">
        <v>157</v>
      </c>
      <c r="S5" s="6" t="s">
        <v>15</v>
      </c>
      <c r="T5" s="3" t="s">
        <v>13</v>
      </c>
    </row>
    <row r="6" spans="1:20" ht="15" customHeight="1" x14ac:dyDescent="0.25">
      <c r="A6" s="7" t="s">
        <v>632</v>
      </c>
      <c r="B6" s="7" t="s">
        <v>645</v>
      </c>
      <c r="C6" s="8" t="s">
        <v>634</v>
      </c>
      <c r="D6" s="7" t="s">
        <v>154</v>
      </c>
      <c r="E6" s="8" t="s">
        <v>13</v>
      </c>
      <c r="F6" s="9" t="s">
        <v>646</v>
      </c>
      <c r="G6" s="7" t="s">
        <v>13</v>
      </c>
      <c r="H6" s="7" t="s">
        <v>647</v>
      </c>
      <c r="I6" s="7" t="s">
        <v>267</v>
      </c>
      <c r="J6" s="8" t="s">
        <v>13</v>
      </c>
      <c r="K6" s="7" t="s">
        <v>21</v>
      </c>
      <c r="L6" s="7" t="s">
        <v>13</v>
      </c>
      <c r="M6" s="7" t="s">
        <v>267</v>
      </c>
      <c r="N6" s="7" t="s">
        <v>648</v>
      </c>
      <c r="O6" s="9" t="s">
        <v>646</v>
      </c>
      <c r="P6" s="8" t="s">
        <v>639</v>
      </c>
      <c r="Q6" s="8" t="s">
        <v>13</v>
      </c>
      <c r="R6" s="7" t="s">
        <v>157</v>
      </c>
      <c r="S6" s="6" t="s">
        <v>15</v>
      </c>
      <c r="T6" s="7" t="s">
        <v>13</v>
      </c>
    </row>
    <row r="7" spans="1:20" ht="15" customHeight="1" x14ac:dyDescent="0.25">
      <c r="A7" s="7" t="s">
        <v>632</v>
      </c>
      <c r="B7" s="7" t="s">
        <v>649</v>
      </c>
      <c r="C7" s="8" t="s">
        <v>634</v>
      </c>
      <c r="D7" s="7" t="s">
        <v>89</v>
      </c>
      <c r="E7" s="8" t="s">
        <v>13</v>
      </c>
      <c r="F7" s="9" t="s">
        <v>646</v>
      </c>
      <c r="G7" s="7" t="s">
        <v>13</v>
      </c>
      <c r="H7" s="7" t="s">
        <v>647</v>
      </c>
      <c r="I7" s="7" t="s">
        <v>267</v>
      </c>
      <c r="J7" s="8" t="s">
        <v>13</v>
      </c>
      <c r="K7" s="7" t="s">
        <v>21</v>
      </c>
      <c r="L7" s="7" t="s">
        <v>13</v>
      </c>
      <c r="M7" s="7" t="s">
        <v>267</v>
      </c>
      <c r="N7" s="7" t="s">
        <v>648</v>
      </c>
      <c r="O7" s="9" t="s">
        <v>646</v>
      </c>
      <c r="P7" s="8" t="s">
        <v>639</v>
      </c>
      <c r="Q7" s="8" t="s">
        <v>13</v>
      </c>
      <c r="R7" s="7" t="s">
        <v>157</v>
      </c>
      <c r="S7" s="6" t="s">
        <v>15</v>
      </c>
      <c r="T7" s="7" t="s">
        <v>13</v>
      </c>
    </row>
    <row r="8" spans="1:20" ht="15" customHeight="1" x14ac:dyDescent="0.25">
      <c r="A8" s="10" t="s">
        <v>632</v>
      </c>
      <c r="B8" s="10" t="s">
        <v>650</v>
      </c>
      <c r="C8" s="11" t="s">
        <v>651</v>
      </c>
      <c r="D8" s="10" t="s">
        <v>88</v>
      </c>
      <c r="E8" s="11" t="s">
        <v>13</v>
      </c>
      <c r="F8" s="12" t="s">
        <v>652</v>
      </c>
      <c r="G8" s="10" t="s">
        <v>13</v>
      </c>
      <c r="H8" s="10" t="s">
        <v>653</v>
      </c>
      <c r="I8" s="10" t="s">
        <v>637</v>
      </c>
      <c r="J8" s="11" t="s">
        <v>13</v>
      </c>
      <c r="K8" s="10" t="s">
        <v>21</v>
      </c>
      <c r="L8" s="10" t="s">
        <v>13</v>
      </c>
      <c r="M8" s="10" t="s">
        <v>637</v>
      </c>
      <c r="N8" s="10" t="s">
        <v>654</v>
      </c>
      <c r="O8" s="12" t="s">
        <v>652</v>
      </c>
      <c r="P8" s="11" t="s">
        <v>655</v>
      </c>
      <c r="Q8" s="11" t="s">
        <v>13</v>
      </c>
      <c r="R8" s="10" t="s">
        <v>88</v>
      </c>
      <c r="S8" s="6" t="s">
        <v>15</v>
      </c>
      <c r="T8" s="10" t="s">
        <v>13</v>
      </c>
    </row>
    <row r="9" spans="1:20" ht="15" customHeight="1" x14ac:dyDescent="0.25">
      <c r="A9" s="10" t="s">
        <v>20</v>
      </c>
      <c r="B9" s="10" t="s">
        <v>78</v>
      </c>
      <c r="C9" s="11" t="s">
        <v>33</v>
      </c>
      <c r="D9" s="10" t="s">
        <v>136</v>
      </c>
      <c r="E9" s="11" t="s">
        <v>79</v>
      </c>
      <c r="F9" s="12" t="s">
        <v>80</v>
      </c>
      <c r="G9" s="10" t="s">
        <v>394</v>
      </c>
      <c r="H9" s="10" t="s">
        <v>653</v>
      </c>
      <c r="I9" s="10" t="s">
        <v>16</v>
      </c>
      <c r="J9" s="11" t="s">
        <v>34</v>
      </c>
      <c r="K9" s="10" t="s">
        <v>21</v>
      </c>
      <c r="L9" s="10" t="s">
        <v>336</v>
      </c>
      <c r="M9" s="10" t="s">
        <v>16</v>
      </c>
      <c r="N9" s="10" t="s">
        <v>81</v>
      </c>
      <c r="O9" s="12" t="s">
        <v>80</v>
      </c>
      <c r="P9" s="11" t="s">
        <v>17</v>
      </c>
      <c r="Q9" s="11" t="s">
        <v>19</v>
      </c>
      <c r="R9" s="10" t="s">
        <v>60</v>
      </c>
      <c r="S9" s="6" t="s">
        <v>15</v>
      </c>
      <c r="T9" s="10" t="s">
        <v>30</v>
      </c>
    </row>
    <row r="10" spans="1:20" ht="15" customHeight="1" x14ac:dyDescent="0.25">
      <c r="A10" s="10" t="s">
        <v>632</v>
      </c>
      <c r="B10" s="10" t="s">
        <v>656</v>
      </c>
      <c r="C10" s="11" t="s">
        <v>657</v>
      </c>
      <c r="D10" s="10" t="s">
        <v>658</v>
      </c>
      <c r="E10" s="11" t="s">
        <v>13</v>
      </c>
      <c r="F10" s="12" t="s">
        <v>659</v>
      </c>
      <c r="G10" s="10" t="s">
        <v>13</v>
      </c>
      <c r="H10" s="10" t="s">
        <v>653</v>
      </c>
      <c r="I10" s="10" t="s">
        <v>267</v>
      </c>
      <c r="J10" s="11" t="s">
        <v>13</v>
      </c>
      <c r="K10" s="10" t="s">
        <v>21</v>
      </c>
      <c r="L10" s="10" t="s">
        <v>13</v>
      </c>
      <c r="M10" s="10" t="s">
        <v>267</v>
      </c>
      <c r="N10" s="10" t="s">
        <v>660</v>
      </c>
      <c r="O10" s="12" t="s">
        <v>659</v>
      </c>
      <c r="P10" s="11" t="s">
        <v>661</v>
      </c>
      <c r="Q10" s="11" t="s">
        <v>13</v>
      </c>
      <c r="R10" s="10" t="s">
        <v>662</v>
      </c>
      <c r="S10" s="6" t="s">
        <v>15</v>
      </c>
      <c r="T10" s="10" t="s">
        <v>13</v>
      </c>
    </row>
    <row r="11" spans="1:20" ht="15" customHeight="1" x14ac:dyDescent="0.25">
      <c r="A11" s="10" t="s">
        <v>632</v>
      </c>
      <c r="B11" s="10" t="s">
        <v>663</v>
      </c>
      <c r="C11" s="11" t="s">
        <v>664</v>
      </c>
      <c r="D11" s="10" t="s">
        <v>665</v>
      </c>
      <c r="E11" s="11" t="s">
        <v>13</v>
      </c>
      <c r="F11" s="12" t="s">
        <v>666</v>
      </c>
      <c r="G11" s="10" t="s">
        <v>13</v>
      </c>
      <c r="H11" s="10" t="s">
        <v>667</v>
      </c>
      <c r="I11" s="10" t="s">
        <v>26</v>
      </c>
      <c r="J11" s="11" t="s">
        <v>13</v>
      </c>
      <c r="K11" s="10" t="s">
        <v>21</v>
      </c>
      <c r="L11" s="10" t="s">
        <v>13</v>
      </c>
      <c r="M11" s="10" t="s">
        <v>26</v>
      </c>
      <c r="N11" s="10" t="s">
        <v>668</v>
      </c>
      <c r="O11" s="12" t="s">
        <v>666</v>
      </c>
      <c r="P11" s="11" t="s">
        <v>17</v>
      </c>
      <c r="Q11" s="11" t="s">
        <v>19</v>
      </c>
      <c r="R11" s="10" t="s">
        <v>66</v>
      </c>
      <c r="S11" s="6" t="s">
        <v>15</v>
      </c>
      <c r="T11" s="10" t="s">
        <v>13</v>
      </c>
    </row>
    <row r="12" spans="1:20" ht="15" customHeight="1" x14ac:dyDescent="0.25">
      <c r="A12" s="10" t="s">
        <v>20</v>
      </c>
      <c r="B12" s="10" t="s">
        <v>82</v>
      </c>
      <c r="C12" s="11" t="s">
        <v>72</v>
      </c>
      <c r="D12" s="10" t="s">
        <v>69</v>
      </c>
      <c r="E12" s="11" t="s">
        <v>83</v>
      </c>
      <c r="F12" s="12" t="s">
        <v>84</v>
      </c>
      <c r="G12" s="10" t="s">
        <v>13</v>
      </c>
      <c r="H12" s="10" t="s">
        <v>667</v>
      </c>
      <c r="I12" s="10" t="s">
        <v>16</v>
      </c>
      <c r="J12" s="11" t="s">
        <v>85</v>
      </c>
      <c r="K12" s="10" t="s">
        <v>21</v>
      </c>
      <c r="L12" s="10" t="s">
        <v>388</v>
      </c>
      <c r="M12" s="10" t="s">
        <v>16</v>
      </c>
      <c r="N12" s="10" t="s">
        <v>86</v>
      </c>
      <c r="O12" s="12" t="s">
        <v>87</v>
      </c>
      <c r="P12" s="11" t="s">
        <v>73</v>
      </c>
      <c r="Q12" s="11" t="s">
        <v>25</v>
      </c>
      <c r="R12" s="10" t="s">
        <v>60</v>
      </c>
      <c r="S12" s="6" t="s">
        <v>15</v>
      </c>
      <c r="T12" s="10" t="s">
        <v>30</v>
      </c>
    </row>
    <row r="13" spans="1:20" ht="15" customHeight="1" x14ac:dyDescent="0.25">
      <c r="A13" s="10" t="s">
        <v>20</v>
      </c>
      <c r="B13" s="10" t="s">
        <v>101</v>
      </c>
      <c r="C13" s="11" t="s">
        <v>102</v>
      </c>
      <c r="D13" s="10" t="s">
        <v>88</v>
      </c>
      <c r="E13" s="11" t="s">
        <v>103</v>
      </c>
      <c r="F13" s="12" t="s">
        <v>104</v>
      </c>
      <c r="G13" s="10" t="s">
        <v>669</v>
      </c>
      <c r="H13" s="10" t="s">
        <v>138</v>
      </c>
      <c r="I13" s="10" t="s">
        <v>26</v>
      </c>
      <c r="J13" s="11" t="s">
        <v>85</v>
      </c>
      <c r="K13" s="10" t="s">
        <v>21</v>
      </c>
      <c r="L13" s="10" t="s">
        <v>336</v>
      </c>
      <c r="M13" s="10" t="s">
        <v>26</v>
      </c>
      <c r="N13" s="10" t="s">
        <v>105</v>
      </c>
      <c r="O13" s="12" t="s">
        <v>106</v>
      </c>
      <c r="P13" s="11" t="s">
        <v>17</v>
      </c>
      <c r="Q13" s="11" t="s">
        <v>19</v>
      </c>
      <c r="R13" s="10" t="s">
        <v>89</v>
      </c>
      <c r="S13" s="6" t="s">
        <v>15</v>
      </c>
      <c r="T13" s="10" t="s">
        <v>30</v>
      </c>
    </row>
    <row r="14" spans="1:20" ht="15" customHeight="1" x14ac:dyDescent="0.25">
      <c r="A14" s="10" t="s">
        <v>20</v>
      </c>
      <c r="B14" s="10" t="s">
        <v>670</v>
      </c>
      <c r="C14" s="11" t="s">
        <v>671</v>
      </c>
      <c r="D14" s="10" t="s">
        <v>66</v>
      </c>
      <c r="E14" s="11" t="s">
        <v>672</v>
      </c>
      <c r="F14" s="12" t="s">
        <v>673</v>
      </c>
      <c r="G14" s="10" t="s">
        <v>674</v>
      </c>
      <c r="H14" s="10" t="s">
        <v>138</v>
      </c>
      <c r="I14" s="10" t="s">
        <v>16</v>
      </c>
      <c r="J14" s="11" t="s">
        <v>85</v>
      </c>
      <c r="K14" s="10" t="s">
        <v>21</v>
      </c>
      <c r="L14" s="10" t="s">
        <v>13</v>
      </c>
      <c r="M14" s="10" t="s">
        <v>16</v>
      </c>
      <c r="N14" s="10" t="s">
        <v>675</v>
      </c>
      <c r="O14" s="12" t="s">
        <v>676</v>
      </c>
      <c r="P14" s="11" t="s">
        <v>17</v>
      </c>
      <c r="Q14" s="11" t="s">
        <v>19</v>
      </c>
      <c r="R14" s="10" t="s">
        <v>66</v>
      </c>
      <c r="S14" s="25" t="s">
        <v>677</v>
      </c>
      <c r="T14" s="10" t="s">
        <v>30</v>
      </c>
    </row>
    <row r="15" spans="1:20" ht="15" customHeight="1" x14ac:dyDescent="0.25">
      <c r="A15" s="10" t="s">
        <v>20</v>
      </c>
      <c r="B15" s="10" t="s">
        <v>155</v>
      </c>
      <c r="C15" s="11" t="s">
        <v>156</v>
      </c>
      <c r="D15" s="10" t="s">
        <v>157</v>
      </c>
      <c r="E15" s="11" t="s">
        <v>158</v>
      </c>
      <c r="F15" s="12" t="s">
        <v>159</v>
      </c>
      <c r="G15" s="10" t="s">
        <v>678</v>
      </c>
      <c r="H15" s="10" t="s">
        <v>67</v>
      </c>
      <c r="I15" s="10" t="s">
        <v>16</v>
      </c>
      <c r="J15" s="11" t="s">
        <v>160</v>
      </c>
      <c r="K15" s="10" t="s">
        <v>21</v>
      </c>
      <c r="L15" s="10" t="s">
        <v>336</v>
      </c>
      <c r="M15" s="10" t="s">
        <v>16</v>
      </c>
      <c r="N15" s="10" t="s">
        <v>161</v>
      </c>
      <c r="O15" s="12" t="s">
        <v>162</v>
      </c>
      <c r="P15" s="11" t="s">
        <v>17</v>
      </c>
      <c r="Q15" s="11" t="s">
        <v>19</v>
      </c>
      <c r="R15" s="10" t="s">
        <v>89</v>
      </c>
      <c r="S15" s="6" t="s">
        <v>15</v>
      </c>
      <c r="T15" s="10" t="s">
        <v>30</v>
      </c>
    </row>
    <row r="16" spans="1:20" ht="15" customHeight="1" x14ac:dyDescent="0.25">
      <c r="A16" s="10" t="s">
        <v>20</v>
      </c>
      <c r="B16" s="10" t="s">
        <v>213</v>
      </c>
      <c r="C16" s="11" t="s">
        <v>214</v>
      </c>
      <c r="D16" s="10" t="s">
        <v>154</v>
      </c>
      <c r="E16" s="11" t="s">
        <v>215</v>
      </c>
      <c r="F16" s="12" t="s">
        <v>216</v>
      </c>
      <c r="G16" s="10" t="s">
        <v>678</v>
      </c>
      <c r="H16" s="10" t="s">
        <v>245</v>
      </c>
      <c r="I16" s="10" t="s">
        <v>16</v>
      </c>
      <c r="J16" s="11" t="s">
        <v>217</v>
      </c>
      <c r="K16" s="10" t="s">
        <v>21</v>
      </c>
      <c r="L16" s="10" t="s">
        <v>336</v>
      </c>
      <c r="M16" s="10" t="s">
        <v>16</v>
      </c>
      <c r="N16" s="10" t="s">
        <v>13</v>
      </c>
      <c r="O16" s="12" t="s">
        <v>13</v>
      </c>
      <c r="P16" s="11" t="s">
        <v>17</v>
      </c>
      <c r="Q16" s="11" t="s">
        <v>13</v>
      </c>
      <c r="R16" s="10" t="s">
        <v>13</v>
      </c>
      <c r="S16" s="10" t="s">
        <v>13</v>
      </c>
      <c r="T16" s="10" t="s">
        <v>30</v>
      </c>
    </row>
    <row r="17" spans="1:20" ht="15" customHeight="1" x14ac:dyDescent="0.25">
      <c r="A17" s="10" t="s">
        <v>20</v>
      </c>
      <c r="B17" s="10" t="s">
        <v>167</v>
      </c>
      <c r="C17" s="11" t="s">
        <v>168</v>
      </c>
      <c r="D17" s="10" t="s">
        <v>157</v>
      </c>
      <c r="E17" s="11" t="s">
        <v>169</v>
      </c>
      <c r="F17" s="12" t="s">
        <v>170</v>
      </c>
      <c r="G17" s="10" t="s">
        <v>64</v>
      </c>
      <c r="H17" s="10" t="s">
        <v>246</v>
      </c>
      <c r="I17" s="10" t="s">
        <v>26</v>
      </c>
      <c r="J17" s="11" t="s">
        <v>172</v>
      </c>
      <c r="K17" s="10" t="s">
        <v>21</v>
      </c>
      <c r="L17" s="10" t="s">
        <v>336</v>
      </c>
      <c r="M17" s="10" t="s">
        <v>26</v>
      </c>
      <c r="N17" s="10" t="s">
        <v>173</v>
      </c>
      <c r="O17" s="12" t="s">
        <v>13</v>
      </c>
      <c r="P17" s="11" t="s">
        <v>17</v>
      </c>
      <c r="Q17" s="11" t="s">
        <v>13</v>
      </c>
      <c r="R17" s="10" t="s">
        <v>13</v>
      </c>
      <c r="S17" s="10" t="s">
        <v>13</v>
      </c>
      <c r="T17" s="10" t="s">
        <v>30</v>
      </c>
    </row>
    <row r="18" spans="1:20" ht="15" customHeight="1" x14ac:dyDescent="0.25">
      <c r="A18" s="10" t="s">
        <v>20</v>
      </c>
      <c r="B18" s="10" t="s">
        <v>189</v>
      </c>
      <c r="C18" s="11" t="s">
        <v>190</v>
      </c>
      <c r="D18" s="10" t="s">
        <v>89</v>
      </c>
      <c r="E18" s="11" t="s">
        <v>191</v>
      </c>
      <c r="F18" s="12" t="s">
        <v>192</v>
      </c>
      <c r="G18" s="10" t="s">
        <v>679</v>
      </c>
      <c r="H18" s="10" t="s">
        <v>68</v>
      </c>
      <c r="I18" s="10" t="s">
        <v>24</v>
      </c>
      <c r="J18" s="11" t="s">
        <v>193</v>
      </c>
      <c r="K18" s="10" t="s">
        <v>21</v>
      </c>
      <c r="L18" s="10" t="s">
        <v>336</v>
      </c>
      <c r="M18" s="10" t="s">
        <v>24</v>
      </c>
      <c r="N18" s="10" t="s">
        <v>13</v>
      </c>
      <c r="O18" s="12" t="s">
        <v>13</v>
      </c>
      <c r="P18" s="11" t="s">
        <v>17</v>
      </c>
      <c r="Q18" s="11" t="s">
        <v>13</v>
      </c>
      <c r="R18" s="10" t="s">
        <v>13</v>
      </c>
      <c r="S18" s="10" t="s">
        <v>13</v>
      </c>
      <c r="T18" s="10" t="s">
        <v>30</v>
      </c>
    </row>
    <row r="19" spans="1:20" ht="15" customHeight="1" x14ac:dyDescent="0.25">
      <c r="A19" s="13" t="s">
        <v>20</v>
      </c>
      <c r="B19" s="13" t="s">
        <v>197</v>
      </c>
      <c r="C19" s="14" t="s">
        <v>198</v>
      </c>
      <c r="D19" s="13" t="s">
        <v>154</v>
      </c>
      <c r="E19" s="14" t="s">
        <v>199</v>
      </c>
      <c r="F19" s="15" t="s">
        <v>200</v>
      </c>
      <c r="G19" s="13" t="s">
        <v>13</v>
      </c>
      <c r="H19" s="13" t="s">
        <v>13</v>
      </c>
      <c r="I19" s="13" t="s">
        <v>16</v>
      </c>
      <c r="J19" s="14" t="s">
        <v>55</v>
      </c>
      <c r="K19" s="13" t="s">
        <v>21</v>
      </c>
      <c r="L19" s="13" t="s">
        <v>336</v>
      </c>
      <c r="M19" s="13" t="s">
        <v>16</v>
      </c>
      <c r="N19" s="13" t="s">
        <v>13</v>
      </c>
      <c r="O19" s="15" t="s">
        <v>13</v>
      </c>
      <c r="P19" s="14" t="s">
        <v>17</v>
      </c>
      <c r="Q19" s="14" t="s">
        <v>13</v>
      </c>
      <c r="R19" s="13" t="s">
        <v>13</v>
      </c>
      <c r="S19" s="13" t="s">
        <v>13</v>
      </c>
      <c r="T19" s="13" t="s">
        <v>30</v>
      </c>
    </row>
    <row r="20" spans="1:20" ht="15" customHeight="1" x14ac:dyDescent="0.25">
      <c r="A20" s="13" t="s">
        <v>20</v>
      </c>
      <c r="B20" s="13" t="s">
        <v>182</v>
      </c>
      <c r="C20" s="14" t="s">
        <v>183</v>
      </c>
      <c r="D20" s="13" t="s">
        <v>123</v>
      </c>
      <c r="E20" s="14" t="s">
        <v>184</v>
      </c>
      <c r="F20" s="15" t="s">
        <v>185</v>
      </c>
      <c r="G20" s="13" t="s">
        <v>13</v>
      </c>
      <c r="H20" s="13" t="s">
        <v>13</v>
      </c>
      <c r="I20" s="13" t="s">
        <v>16</v>
      </c>
      <c r="J20" s="14" t="s">
        <v>186</v>
      </c>
      <c r="K20" s="13" t="s">
        <v>21</v>
      </c>
      <c r="L20" s="13" t="s">
        <v>336</v>
      </c>
      <c r="M20" s="13" t="s">
        <v>16</v>
      </c>
      <c r="N20" s="13" t="s">
        <v>13</v>
      </c>
      <c r="O20" s="15" t="s">
        <v>13</v>
      </c>
      <c r="P20" s="14" t="s">
        <v>73</v>
      </c>
      <c r="Q20" s="14" t="s">
        <v>13</v>
      </c>
      <c r="R20" s="13" t="s">
        <v>13</v>
      </c>
      <c r="S20" s="13" t="s">
        <v>13</v>
      </c>
      <c r="T20" s="13" t="s">
        <v>30</v>
      </c>
    </row>
    <row r="21" spans="1:20" ht="15" customHeight="1" x14ac:dyDescent="0.25">
      <c r="A21" s="13" t="s">
        <v>20</v>
      </c>
      <c r="B21" s="13" t="s">
        <v>314</v>
      </c>
      <c r="C21" s="14" t="s">
        <v>299</v>
      </c>
      <c r="D21" s="13" t="s">
        <v>36</v>
      </c>
      <c r="E21" s="14" t="s">
        <v>315</v>
      </c>
      <c r="F21" s="15" t="s">
        <v>39</v>
      </c>
      <c r="G21" s="13" t="s">
        <v>13</v>
      </c>
      <c r="H21" s="13" t="s">
        <v>13</v>
      </c>
      <c r="I21" s="13" t="s">
        <v>16</v>
      </c>
      <c r="J21" s="14" t="s">
        <v>301</v>
      </c>
      <c r="K21" s="13" t="s">
        <v>21</v>
      </c>
      <c r="L21" s="13"/>
      <c r="M21" s="13" t="s">
        <v>16</v>
      </c>
      <c r="N21" s="13" t="s">
        <v>302</v>
      </c>
      <c r="O21" s="15" t="s">
        <v>13</v>
      </c>
      <c r="P21" s="14" t="s">
        <v>17</v>
      </c>
      <c r="Q21" s="14" t="s">
        <v>13</v>
      </c>
      <c r="R21" s="13" t="s">
        <v>13</v>
      </c>
      <c r="S21" s="13" t="s">
        <v>13</v>
      </c>
      <c r="T21" s="13" t="s">
        <v>30</v>
      </c>
    </row>
    <row r="22" spans="1:20" ht="15" customHeight="1" x14ac:dyDescent="0.25">
      <c r="A22" s="13" t="s">
        <v>20</v>
      </c>
      <c r="B22" s="13" t="s">
        <v>298</v>
      </c>
      <c r="C22" s="14" t="s">
        <v>299</v>
      </c>
      <c r="D22" s="13" t="s">
        <v>36</v>
      </c>
      <c r="E22" s="14" t="s">
        <v>300</v>
      </c>
      <c r="F22" s="15" t="s">
        <v>41</v>
      </c>
      <c r="G22" s="13" t="s">
        <v>13</v>
      </c>
      <c r="H22" s="13" t="s">
        <v>13</v>
      </c>
      <c r="I22" s="13" t="s">
        <v>16</v>
      </c>
      <c r="J22" s="14" t="s">
        <v>301</v>
      </c>
      <c r="K22" s="13" t="s">
        <v>21</v>
      </c>
      <c r="L22" s="13"/>
      <c r="M22" s="13" t="s">
        <v>16</v>
      </c>
      <c r="N22" s="13" t="s">
        <v>302</v>
      </c>
      <c r="O22" s="15" t="s">
        <v>13</v>
      </c>
      <c r="P22" s="14" t="s">
        <v>17</v>
      </c>
      <c r="Q22" s="14" t="s">
        <v>13</v>
      </c>
      <c r="R22" s="13" t="s">
        <v>13</v>
      </c>
      <c r="S22" s="13" t="s">
        <v>13</v>
      </c>
      <c r="T22" s="13" t="s">
        <v>30</v>
      </c>
    </row>
    <row r="23" spans="1:20" ht="15" customHeight="1" x14ac:dyDescent="0.25">
      <c r="A23" s="13" t="s">
        <v>20</v>
      </c>
      <c r="B23" s="13" t="s">
        <v>177</v>
      </c>
      <c r="C23" s="14" t="s">
        <v>178</v>
      </c>
      <c r="D23" s="13" t="s">
        <v>70</v>
      </c>
      <c r="E23" s="14" t="s">
        <v>179</v>
      </c>
      <c r="F23" s="15" t="s">
        <v>180</v>
      </c>
      <c r="G23" s="13" t="s">
        <v>13</v>
      </c>
      <c r="H23" s="13" t="s">
        <v>13</v>
      </c>
      <c r="I23" s="13" t="s">
        <v>16</v>
      </c>
      <c r="J23" s="14" t="s">
        <v>181</v>
      </c>
      <c r="K23" s="13" t="s">
        <v>21</v>
      </c>
      <c r="L23" s="13" t="s">
        <v>433</v>
      </c>
      <c r="M23" s="13" t="s">
        <v>16</v>
      </c>
      <c r="N23" s="13" t="s">
        <v>13</v>
      </c>
      <c r="O23" s="15" t="s">
        <v>13</v>
      </c>
      <c r="P23" s="14" t="s">
        <v>73</v>
      </c>
      <c r="Q23" s="14" t="s">
        <v>25</v>
      </c>
      <c r="R23" s="13" t="s">
        <v>13</v>
      </c>
      <c r="S23" s="13" t="s">
        <v>13</v>
      </c>
      <c r="T23" s="13" t="s">
        <v>30</v>
      </c>
    </row>
    <row r="24" spans="1:20" ht="15" customHeight="1" x14ac:dyDescent="0.25">
      <c r="A24" s="13" t="s">
        <v>20</v>
      </c>
      <c r="B24" s="13" t="s">
        <v>51</v>
      </c>
      <c r="C24" s="14" t="s">
        <v>52</v>
      </c>
      <c r="D24" s="13" t="s">
        <v>188</v>
      </c>
      <c r="E24" s="14" t="s">
        <v>53</v>
      </c>
      <c r="F24" s="15" t="s">
        <v>54</v>
      </c>
      <c r="G24" s="13" t="s">
        <v>13</v>
      </c>
      <c r="H24" s="13" t="s">
        <v>13</v>
      </c>
      <c r="I24" s="13" t="s">
        <v>16</v>
      </c>
      <c r="J24" s="14" t="s">
        <v>55</v>
      </c>
      <c r="K24" s="13" t="s">
        <v>21</v>
      </c>
      <c r="L24" s="13" t="s">
        <v>336</v>
      </c>
      <c r="M24" s="13" t="s">
        <v>16</v>
      </c>
      <c r="N24" s="13" t="s">
        <v>13</v>
      </c>
      <c r="O24" s="15" t="s">
        <v>13</v>
      </c>
      <c r="P24" s="14" t="s">
        <v>17</v>
      </c>
      <c r="Q24" s="14" t="s">
        <v>13</v>
      </c>
      <c r="R24" s="13" t="s">
        <v>13</v>
      </c>
      <c r="S24" s="13" t="s">
        <v>13</v>
      </c>
      <c r="T24" s="13" t="s">
        <v>30</v>
      </c>
    </row>
    <row r="25" spans="1:20" ht="15" customHeight="1" x14ac:dyDescent="0.25">
      <c r="A25" s="13" t="s">
        <v>632</v>
      </c>
      <c r="B25" s="13" t="s">
        <v>680</v>
      </c>
      <c r="C25" s="14" t="s">
        <v>681</v>
      </c>
      <c r="D25" s="13" t="s">
        <v>665</v>
      </c>
      <c r="E25" s="14" t="s">
        <v>13</v>
      </c>
      <c r="F25" s="15" t="s">
        <v>682</v>
      </c>
      <c r="G25" s="13" t="s">
        <v>13</v>
      </c>
      <c r="H25" s="13" t="s">
        <v>13</v>
      </c>
      <c r="I25" s="13" t="s">
        <v>267</v>
      </c>
      <c r="J25" s="14" t="s">
        <v>13</v>
      </c>
      <c r="K25" s="13" t="s">
        <v>21</v>
      </c>
      <c r="L25" s="13" t="s">
        <v>13</v>
      </c>
      <c r="M25" s="13" t="s">
        <v>267</v>
      </c>
      <c r="N25" s="13" t="s">
        <v>13</v>
      </c>
      <c r="O25" s="15" t="s">
        <v>13</v>
      </c>
      <c r="P25" s="14" t="s">
        <v>639</v>
      </c>
      <c r="Q25" s="14" t="s">
        <v>13</v>
      </c>
      <c r="R25" s="13" t="s">
        <v>13</v>
      </c>
      <c r="S25" s="13" t="s">
        <v>13</v>
      </c>
      <c r="T25" s="13" t="s">
        <v>13</v>
      </c>
    </row>
    <row r="26" spans="1:20" ht="15" customHeight="1" x14ac:dyDescent="0.25">
      <c r="A26" s="13" t="s">
        <v>632</v>
      </c>
      <c r="B26" s="13" t="s">
        <v>683</v>
      </c>
      <c r="C26" s="14" t="s">
        <v>684</v>
      </c>
      <c r="D26" s="13" t="s">
        <v>685</v>
      </c>
      <c r="E26" s="14" t="s">
        <v>13</v>
      </c>
      <c r="F26" s="15" t="s">
        <v>686</v>
      </c>
      <c r="G26" s="13" t="s">
        <v>13</v>
      </c>
      <c r="H26" s="13" t="s">
        <v>13</v>
      </c>
      <c r="I26" s="13" t="s">
        <v>267</v>
      </c>
      <c r="J26" s="14" t="s">
        <v>13</v>
      </c>
      <c r="K26" s="13" t="s">
        <v>21</v>
      </c>
      <c r="L26" s="13" t="s">
        <v>13</v>
      </c>
      <c r="M26" s="13" t="s">
        <v>267</v>
      </c>
      <c r="N26" s="13" t="s">
        <v>13</v>
      </c>
      <c r="O26" s="15" t="s">
        <v>13</v>
      </c>
      <c r="P26" s="14" t="s">
        <v>655</v>
      </c>
      <c r="Q26" s="14" t="s">
        <v>13</v>
      </c>
      <c r="R26" s="13" t="s">
        <v>13</v>
      </c>
      <c r="S26" s="13" t="s">
        <v>13</v>
      </c>
      <c r="T26" s="13" t="s">
        <v>13</v>
      </c>
    </row>
    <row r="27" spans="1:20" ht="15" customHeight="1" x14ac:dyDescent="0.25">
      <c r="A27" s="13" t="s">
        <v>632</v>
      </c>
      <c r="B27" s="13" t="s">
        <v>687</v>
      </c>
      <c r="C27" s="14" t="s">
        <v>688</v>
      </c>
      <c r="D27" s="13" t="s">
        <v>66</v>
      </c>
      <c r="E27" s="14" t="s">
        <v>13</v>
      </c>
      <c r="F27" s="15" t="s">
        <v>689</v>
      </c>
      <c r="G27" s="13" t="s">
        <v>13</v>
      </c>
      <c r="H27" s="13" t="s">
        <v>13</v>
      </c>
      <c r="I27" s="13" t="s">
        <v>267</v>
      </c>
      <c r="J27" s="14" t="s">
        <v>13</v>
      </c>
      <c r="K27" s="13" t="s">
        <v>21</v>
      </c>
      <c r="L27" s="13" t="s">
        <v>13</v>
      </c>
      <c r="M27" s="13" t="s">
        <v>267</v>
      </c>
      <c r="N27" s="13" t="s">
        <v>13</v>
      </c>
      <c r="O27" s="15" t="s">
        <v>13</v>
      </c>
      <c r="P27" s="14" t="s">
        <v>661</v>
      </c>
      <c r="Q27" s="14" t="s">
        <v>13</v>
      </c>
      <c r="R27" s="13" t="s">
        <v>13</v>
      </c>
      <c r="S27" s="13" t="s">
        <v>13</v>
      </c>
      <c r="T27" s="13" t="s">
        <v>13</v>
      </c>
    </row>
    <row r="28" spans="1:20" ht="15" customHeight="1" x14ac:dyDescent="0.25">
      <c r="A28" s="13" t="s">
        <v>632</v>
      </c>
      <c r="B28" s="13" t="s">
        <v>690</v>
      </c>
      <c r="C28" s="14" t="s">
        <v>651</v>
      </c>
      <c r="D28" s="13" t="s">
        <v>691</v>
      </c>
      <c r="E28" s="14" t="s">
        <v>13</v>
      </c>
      <c r="F28" s="15" t="s">
        <v>692</v>
      </c>
      <c r="G28" s="13" t="s">
        <v>13</v>
      </c>
      <c r="H28" s="13" t="s">
        <v>13</v>
      </c>
      <c r="I28" s="13" t="s">
        <v>637</v>
      </c>
      <c r="J28" s="14" t="s">
        <v>13</v>
      </c>
      <c r="K28" s="13" t="s">
        <v>21</v>
      </c>
      <c r="L28" s="13" t="s">
        <v>13</v>
      </c>
      <c r="M28" s="13" t="s">
        <v>637</v>
      </c>
      <c r="N28" s="13" t="s">
        <v>13</v>
      </c>
      <c r="O28" s="15" t="s">
        <v>13</v>
      </c>
      <c r="P28" s="14" t="s">
        <v>655</v>
      </c>
      <c r="Q28" s="14" t="s">
        <v>13</v>
      </c>
      <c r="R28" s="13" t="s">
        <v>13</v>
      </c>
      <c r="S28" s="13" t="s">
        <v>13</v>
      </c>
      <c r="T28" s="13" t="s">
        <v>13</v>
      </c>
    </row>
    <row r="29" spans="1:20" ht="15" customHeight="1" x14ac:dyDescent="0.25">
      <c r="A29" s="13" t="s">
        <v>632</v>
      </c>
      <c r="B29" s="13" t="s">
        <v>693</v>
      </c>
      <c r="C29" s="14" t="s">
        <v>694</v>
      </c>
      <c r="D29" s="13" t="s">
        <v>662</v>
      </c>
      <c r="E29" s="14" t="s">
        <v>13</v>
      </c>
      <c r="F29" s="15" t="s">
        <v>695</v>
      </c>
      <c r="G29" s="13" t="s">
        <v>13</v>
      </c>
      <c r="H29" s="13" t="s">
        <v>13</v>
      </c>
      <c r="I29" s="13" t="s">
        <v>267</v>
      </c>
      <c r="J29" s="14" t="s">
        <v>13</v>
      </c>
      <c r="K29" s="13" t="s">
        <v>21</v>
      </c>
      <c r="L29" s="13" t="s">
        <v>13</v>
      </c>
      <c r="M29" s="13" t="s">
        <v>267</v>
      </c>
      <c r="N29" s="13" t="s">
        <v>13</v>
      </c>
      <c r="O29" s="15" t="s">
        <v>13</v>
      </c>
      <c r="P29" s="14" t="s">
        <v>14</v>
      </c>
      <c r="Q29" s="14" t="s">
        <v>13</v>
      </c>
      <c r="R29" s="13" t="s">
        <v>13</v>
      </c>
      <c r="S29" s="13" t="s">
        <v>13</v>
      </c>
      <c r="T29" s="13" t="s">
        <v>13</v>
      </c>
    </row>
    <row r="30" spans="1:20" s="29" customFormat="1" ht="15" customHeight="1" x14ac:dyDescent="0.25">
      <c r="A30" s="26" t="s">
        <v>632</v>
      </c>
      <c r="B30" s="26" t="s">
        <v>687</v>
      </c>
      <c r="C30" s="27" t="s">
        <v>696</v>
      </c>
      <c r="D30" s="26" t="s">
        <v>154</v>
      </c>
      <c r="E30" s="27" t="s">
        <v>13</v>
      </c>
      <c r="F30" s="28" t="s">
        <v>697</v>
      </c>
      <c r="G30" s="26" t="s">
        <v>13</v>
      </c>
      <c r="H30" s="26" t="s">
        <v>13</v>
      </c>
      <c r="I30" s="26" t="s">
        <v>267</v>
      </c>
      <c r="J30" s="27" t="s">
        <v>13</v>
      </c>
      <c r="K30" s="26" t="s">
        <v>21</v>
      </c>
      <c r="L30" s="26" t="s">
        <v>13</v>
      </c>
      <c r="M30" s="26" t="s">
        <v>267</v>
      </c>
      <c r="N30" s="26" t="s">
        <v>13</v>
      </c>
      <c r="O30" s="28" t="s">
        <v>13</v>
      </c>
      <c r="P30" s="27" t="s">
        <v>17</v>
      </c>
      <c r="Q30" s="27" t="s">
        <v>13</v>
      </c>
      <c r="R30" s="26" t="s">
        <v>13</v>
      </c>
      <c r="S30" s="26" t="s">
        <v>13</v>
      </c>
      <c r="T30" s="26" t="s">
        <v>13</v>
      </c>
    </row>
  </sheetData>
  <autoFilter ref="A1:T24" xr:uid="{6EBD8DE6-E0AD-4EC4-ABEF-FC9321AB7545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8B850-95E5-42A2-A981-9A4F1A749B3B}">
  <dimension ref="A1:U138"/>
  <sheetViews>
    <sheetView topLeftCell="A132" workbookViewId="0">
      <selection activeCell="U2" sqref="U2:U138"/>
    </sheetView>
  </sheetViews>
  <sheetFormatPr defaultRowHeight="15" x14ac:dyDescent="0.25"/>
  <sheetData>
    <row r="1" spans="1:21" ht="18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61</v>
      </c>
      <c r="G1" s="2" t="s">
        <v>5</v>
      </c>
      <c r="H1" s="2" t="s">
        <v>6</v>
      </c>
      <c r="I1" s="2" t="s">
        <v>32</v>
      </c>
      <c r="J1" s="2" t="s">
        <v>27</v>
      </c>
      <c r="K1" s="2" t="s">
        <v>7</v>
      </c>
      <c r="L1" s="2" t="s">
        <v>31</v>
      </c>
      <c r="M1" s="2" t="s">
        <v>62</v>
      </c>
      <c r="N1" s="2" t="s">
        <v>8</v>
      </c>
      <c r="O1" s="2" t="s">
        <v>63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28</v>
      </c>
      <c r="U1" s="24" t="s">
        <v>631</v>
      </c>
    </row>
    <row r="2" spans="1:21" ht="15" customHeight="1" x14ac:dyDescent="0.25">
      <c r="A2" s="3" t="s">
        <v>20</v>
      </c>
      <c r="B2" s="3" t="s">
        <v>218</v>
      </c>
      <c r="C2" s="4" t="s">
        <v>219</v>
      </c>
      <c r="D2" s="3" t="s">
        <v>220</v>
      </c>
      <c r="E2" s="4" t="s">
        <v>221</v>
      </c>
      <c r="F2" s="5" t="s">
        <v>222</v>
      </c>
      <c r="G2" s="3" t="s">
        <v>223</v>
      </c>
      <c r="H2" s="3" t="s">
        <v>333</v>
      </c>
      <c r="I2" s="3" t="s">
        <v>16</v>
      </c>
      <c r="J2" s="4" t="s">
        <v>224</v>
      </c>
      <c r="K2" s="3" t="s">
        <v>21</v>
      </c>
      <c r="L2" s="3" t="s">
        <v>334</v>
      </c>
      <c r="M2" s="3" t="s">
        <v>16</v>
      </c>
      <c r="N2" s="3" t="s">
        <v>13</v>
      </c>
      <c r="O2" s="5" t="s">
        <v>13</v>
      </c>
      <c r="P2" s="4" t="s">
        <v>13</v>
      </c>
      <c r="Q2" s="4" t="s">
        <v>13</v>
      </c>
      <c r="R2" s="3" t="s">
        <v>13</v>
      </c>
      <c r="S2" s="3" t="s">
        <v>13</v>
      </c>
      <c r="T2" s="3" t="s">
        <v>30</v>
      </c>
      <c r="U2" t="str">
        <f>CONCATENATE(B2,C2)</f>
        <v>9084AUTO ELETRICA SILVA CAMPOS LTDA  ME</v>
      </c>
    </row>
    <row r="3" spans="1:21" ht="15" customHeight="1" x14ac:dyDescent="0.25">
      <c r="A3" s="3" t="s">
        <v>20</v>
      </c>
      <c r="B3" s="3" t="s">
        <v>225</v>
      </c>
      <c r="C3" s="4" t="s">
        <v>33</v>
      </c>
      <c r="D3" s="3" t="s">
        <v>226</v>
      </c>
      <c r="E3" s="4" t="s">
        <v>227</v>
      </c>
      <c r="F3" s="5" t="s">
        <v>228</v>
      </c>
      <c r="G3" s="3" t="s">
        <v>123</v>
      </c>
      <c r="H3" s="3" t="s">
        <v>234</v>
      </c>
      <c r="I3" s="3" t="s">
        <v>16</v>
      </c>
      <c r="J3" s="4" t="s">
        <v>34</v>
      </c>
      <c r="K3" s="3" t="s">
        <v>21</v>
      </c>
      <c r="L3" s="3" t="s">
        <v>334</v>
      </c>
      <c r="M3" s="3" t="s">
        <v>16</v>
      </c>
      <c r="N3" s="3" t="s">
        <v>229</v>
      </c>
      <c r="O3" s="5" t="s">
        <v>13</v>
      </c>
      <c r="P3" s="4" t="s">
        <v>13</v>
      </c>
      <c r="Q3" s="4" t="s">
        <v>13</v>
      </c>
      <c r="R3" s="3" t="s">
        <v>13</v>
      </c>
      <c r="S3" s="3" t="s">
        <v>13</v>
      </c>
      <c r="T3" s="3" t="s">
        <v>30</v>
      </c>
      <c r="U3" t="str">
        <f t="shared" ref="U3:U66" si="0">CONCATENATE(B3,C3)</f>
        <v>12226MANG EXPRESS COMERCIO NORTE LTDA</v>
      </c>
    </row>
    <row r="4" spans="1:21" ht="15" customHeight="1" x14ac:dyDescent="0.25">
      <c r="A4" s="3" t="s">
        <v>20</v>
      </c>
      <c r="B4" s="3" t="s">
        <v>230</v>
      </c>
      <c r="C4" s="4" t="s">
        <v>22</v>
      </c>
      <c r="D4" s="3" t="s">
        <v>231</v>
      </c>
      <c r="E4" s="4" t="s">
        <v>232</v>
      </c>
      <c r="F4" s="5" t="s">
        <v>233</v>
      </c>
      <c r="G4" s="3" t="s">
        <v>157</v>
      </c>
      <c r="H4" s="3" t="s">
        <v>335</v>
      </c>
      <c r="I4" s="3" t="s">
        <v>16</v>
      </c>
      <c r="J4" s="4" t="s">
        <v>29</v>
      </c>
      <c r="K4" s="3" t="s">
        <v>21</v>
      </c>
      <c r="L4" s="3" t="s">
        <v>336</v>
      </c>
      <c r="M4" s="3" t="s">
        <v>16</v>
      </c>
      <c r="N4" s="3" t="s">
        <v>235</v>
      </c>
      <c r="O4" s="5" t="s">
        <v>236</v>
      </c>
      <c r="P4" s="4" t="s">
        <v>17</v>
      </c>
      <c r="Q4" s="4" t="s">
        <v>19</v>
      </c>
      <c r="R4" s="3" t="s">
        <v>237</v>
      </c>
      <c r="S4" s="6" t="s">
        <v>15</v>
      </c>
      <c r="T4" s="3" t="s">
        <v>30</v>
      </c>
      <c r="U4" t="str">
        <f t="shared" si="0"/>
        <v>12614KOMATSU FOREST IND E COM DE MAQUINAS FLO</v>
      </c>
    </row>
    <row r="5" spans="1:21" ht="15" customHeight="1" x14ac:dyDescent="0.25">
      <c r="A5" s="3" t="s">
        <v>20</v>
      </c>
      <c r="B5" s="3" t="s">
        <v>337</v>
      </c>
      <c r="C5" s="4" t="s">
        <v>338</v>
      </c>
      <c r="D5" s="3" t="s">
        <v>36</v>
      </c>
      <c r="E5" s="4" t="s">
        <v>339</v>
      </c>
      <c r="F5" s="5" t="s">
        <v>340</v>
      </c>
      <c r="G5" s="3" t="s">
        <v>136</v>
      </c>
      <c r="H5" s="3" t="s">
        <v>341</v>
      </c>
      <c r="I5" s="3" t="s">
        <v>16</v>
      </c>
      <c r="J5" s="4" t="s">
        <v>342</v>
      </c>
      <c r="K5" s="3" t="s">
        <v>21</v>
      </c>
      <c r="L5" s="3" t="s">
        <v>334</v>
      </c>
      <c r="M5" s="3" t="s">
        <v>16</v>
      </c>
      <c r="N5" s="3" t="s">
        <v>343</v>
      </c>
      <c r="O5" s="5" t="s">
        <v>13</v>
      </c>
      <c r="P5" s="4" t="s">
        <v>13</v>
      </c>
      <c r="Q5" s="4" t="s">
        <v>13</v>
      </c>
      <c r="R5" s="3" t="s">
        <v>13</v>
      </c>
      <c r="S5" s="3" t="s">
        <v>13</v>
      </c>
      <c r="T5" s="3" t="s">
        <v>30</v>
      </c>
      <c r="U5" t="str">
        <f t="shared" si="0"/>
        <v>26624MANOS IMPLEMENTOS RODOVIARIOS</v>
      </c>
    </row>
    <row r="6" spans="1:21" ht="15" customHeight="1" x14ac:dyDescent="0.25">
      <c r="A6" s="3" t="s">
        <v>20</v>
      </c>
      <c r="B6" s="3" t="s">
        <v>344</v>
      </c>
      <c r="C6" s="4" t="s">
        <v>338</v>
      </c>
      <c r="D6" s="3" t="s">
        <v>36</v>
      </c>
      <c r="E6" s="4" t="s">
        <v>345</v>
      </c>
      <c r="F6" s="5" t="s">
        <v>340</v>
      </c>
      <c r="G6" s="3" t="s">
        <v>136</v>
      </c>
      <c r="H6" s="3" t="s">
        <v>341</v>
      </c>
      <c r="I6" s="3" t="s">
        <v>16</v>
      </c>
      <c r="J6" s="4" t="s">
        <v>342</v>
      </c>
      <c r="K6" s="3" t="s">
        <v>21</v>
      </c>
      <c r="L6" s="3" t="s">
        <v>334</v>
      </c>
      <c r="M6" s="3" t="s">
        <v>16</v>
      </c>
      <c r="N6" s="3" t="s">
        <v>343</v>
      </c>
      <c r="O6" s="5" t="s">
        <v>13</v>
      </c>
      <c r="P6" s="4" t="s">
        <v>13</v>
      </c>
      <c r="Q6" s="4" t="s">
        <v>13</v>
      </c>
      <c r="R6" s="3" t="s">
        <v>13</v>
      </c>
      <c r="S6" s="3" t="s">
        <v>13</v>
      </c>
      <c r="T6" s="3" t="s">
        <v>30</v>
      </c>
      <c r="U6" t="str">
        <f t="shared" si="0"/>
        <v>26627MANOS IMPLEMENTOS RODOVIARIOS</v>
      </c>
    </row>
    <row r="7" spans="1:21" ht="15" customHeight="1" x14ac:dyDescent="0.25">
      <c r="A7" s="3" t="s">
        <v>20</v>
      </c>
      <c r="B7" s="3" t="s">
        <v>346</v>
      </c>
      <c r="C7" s="4" t="s">
        <v>338</v>
      </c>
      <c r="D7" s="3" t="s">
        <v>36</v>
      </c>
      <c r="E7" s="4" t="s">
        <v>347</v>
      </c>
      <c r="F7" s="5" t="s">
        <v>340</v>
      </c>
      <c r="G7" s="3" t="s">
        <v>136</v>
      </c>
      <c r="H7" s="3" t="s">
        <v>341</v>
      </c>
      <c r="I7" s="3" t="s">
        <v>16</v>
      </c>
      <c r="J7" s="4" t="s">
        <v>342</v>
      </c>
      <c r="K7" s="3" t="s">
        <v>21</v>
      </c>
      <c r="L7" s="3" t="s">
        <v>334</v>
      </c>
      <c r="M7" s="3" t="s">
        <v>16</v>
      </c>
      <c r="N7" s="3" t="s">
        <v>343</v>
      </c>
      <c r="O7" s="5" t="s">
        <v>13</v>
      </c>
      <c r="P7" s="4" t="s">
        <v>13</v>
      </c>
      <c r="Q7" s="4" t="s">
        <v>13</v>
      </c>
      <c r="R7" s="3" t="s">
        <v>13</v>
      </c>
      <c r="S7" s="3" t="s">
        <v>13</v>
      </c>
      <c r="T7" s="3" t="s">
        <v>30</v>
      </c>
      <c r="U7" t="str">
        <f t="shared" si="0"/>
        <v>26631MANOS IMPLEMENTOS RODOVIARIOS</v>
      </c>
    </row>
    <row r="8" spans="1:21" ht="15" customHeight="1" x14ac:dyDescent="0.25">
      <c r="A8" s="3" t="s">
        <v>20</v>
      </c>
      <c r="B8" s="3" t="s">
        <v>348</v>
      </c>
      <c r="C8" s="4" t="s">
        <v>338</v>
      </c>
      <c r="D8" s="3" t="s">
        <v>36</v>
      </c>
      <c r="E8" s="4" t="s">
        <v>349</v>
      </c>
      <c r="F8" s="5" t="s">
        <v>340</v>
      </c>
      <c r="G8" s="3" t="s">
        <v>136</v>
      </c>
      <c r="H8" s="3" t="s">
        <v>341</v>
      </c>
      <c r="I8" s="3" t="s">
        <v>16</v>
      </c>
      <c r="J8" s="4" t="s">
        <v>342</v>
      </c>
      <c r="K8" s="3" t="s">
        <v>21</v>
      </c>
      <c r="L8" s="3" t="s">
        <v>334</v>
      </c>
      <c r="M8" s="3" t="s">
        <v>16</v>
      </c>
      <c r="N8" s="3" t="s">
        <v>343</v>
      </c>
      <c r="O8" s="5" t="s">
        <v>13</v>
      </c>
      <c r="P8" s="4" t="s">
        <v>13</v>
      </c>
      <c r="Q8" s="4" t="s">
        <v>13</v>
      </c>
      <c r="R8" s="3" t="s">
        <v>13</v>
      </c>
      <c r="S8" s="3" t="s">
        <v>13</v>
      </c>
      <c r="T8" s="3" t="s">
        <v>30</v>
      </c>
      <c r="U8" t="str">
        <f t="shared" si="0"/>
        <v>26630MANOS IMPLEMENTOS RODOVIARIOS</v>
      </c>
    </row>
    <row r="9" spans="1:21" ht="15" customHeight="1" x14ac:dyDescent="0.25">
      <c r="A9" s="3" t="s">
        <v>20</v>
      </c>
      <c r="B9" s="3" t="s">
        <v>350</v>
      </c>
      <c r="C9" s="4" t="s">
        <v>338</v>
      </c>
      <c r="D9" s="3" t="s">
        <v>36</v>
      </c>
      <c r="E9" s="4" t="s">
        <v>351</v>
      </c>
      <c r="F9" s="5" t="s">
        <v>352</v>
      </c>
      <c r="G9" s="3" t="s">
        <v>136</v>
      </c>
      <c r="H9" s="3" t="s">
        <v>341</v>
      </c>
      <c r="I9" s="3" t="s">
        <v>16</v>
      </c>
      <c r="J9" s="4" t="s">
        <v>342</v>
      </c>
      <c r="K9" s="3" t="s">
        <v>21</v>
      </c>
      <c r="L9" s="3" t="s">
        <v>334</v>
      </c>
      <c r="M9" s="3" t="s">
        <v>16</v>
      </c>
      <c r="N9" s="3" t="s">
        <v>343</v>
      </c>
      <c r="O9" s="5" t="s">
        <v>13</v>
      </c>
      <c r="P9" s="4" t="s">
        <v>13</v>
      </c>
      <c r="Q9" s="4" t="s">
        <v>13</v>
      </c>
      <c r="R9" s="3" t="s">
        <v>13</v>
      </c>
      <c r="S9" s="3" t="s">
        <v>13</v>
      </c>
      <c r="T9" s="3" t="s">
        <v>30</v>
      </c>
      <c r="U9" t="str">
        <f t="shared" si="0"/>
        <v>26635MANOS IMPLEMENTOS RODOVIARIOS</v>
      </c>
    </row>
    <row r="10" spans="1:21" ht="15" customHeight="1" x14ac:dyDescent="0.25">
      <c r="A10" s="3" t="s">
        <v>20</v>
      </c>
      <c r="B10" s="3" t="s">
        <v>353</v>
      </c>
      <c r="C10" s="4" t="s">
        <v>338</v>
      </c>
      <c r="D10" s="3" t="s">
        <v>36</v>
      </c>
      <c r="E10" s="4" t="s">
        <v>354</v>
      </c>
      <c r="F10" s="5" t="s">
        <v>340</v>
      </c>
      <c r="G10" s="3" t="s">
        <v>136</v>
      </c>
      <c r="H10" s="3" t="s">
        <v>341</v>
      </c>
      <c r="I10" s="3" t="s">
        <v>16</v>
      </c>
      <c r="J10" s="4" t="s">
        <v>342</v>
      </c>
      <c r="K10" s="3" t="s">
        <v>21</v>
      </c>
      <c r="L10" s="3" t="s">
        <v>334</v>
      </c>
      <c r="M10" s="3" t="s">
        <v>16</v>
      </c>
      <c r="N10" s="3" t="s">
        <v>343</v>
      </c>
      <c r="O10" s="5" t="s">
        <v>13</v>
      </c>
      <c r="P10" s="4" t="s">
        <v>13</v>
      </c>
      <c r="Q10" s="4" t="s">
        <v>13</v>
      </c>
      <c r="R10" s="3" t="s">
        <v>13</v>
      </c>
      <c r="S10" s="3" t="s">
        <v>13</v>
      </c>
      <c r="T10" s="3" t="s">
        <v>30</v>
      </c>
      <c r="U10" t="str">
        <f t="shared" si="0"/>
        <v>26625MANOS IMPLEMENTOS RODOVIARIOS</v>
      </c>
    </row>
    <row r="11" spans="1:21" ht="15" customHeight="1" x14ac:dyDescent="0.25">
      <c r="A11" s="3" t="s">
        <v>20</v>
      </c>
      <c r="B11" s="3" t="s">
        <v>355</v>
      </c>
      <c r="C11" s="4" t="s">
        <v>338</v>
      </c>
      <c r="D11" s="3" t="s">
        <v>36</v>
      </c>
      <c r="E11" s="4" t="s">
        <v>356</v>
      </c>
      <c r="F11" s="5" t="s">
        <v>340</v>
      </c>
      <c r="G11" s="3" t="s">
        <v>136</v>
      </c>
      <c r="H11" s="3" t="s">
        <v>341</v>
      </c>
      <c r="I11" s="3" t="s">
        <v>16</v>
      </c>
      <c r="J11" s="4" t="s">
        <v>342</v>
      </c>
      <c r="K11" s="3" t="s">
        <v>21</v>
      </c>
      <c r="L11" s="3" t="s">
        <v>334</v>
      </c>
      <c r="M11" s="3" t="s">
        <v>16</v>
      </c>
      <c r="N11" s="3" t="s">
        <v>343</v>
      </c>
      <c r="O11" s="5" t="s">
        <v>13</v>
      </c>
      <c r="P11" s="4" t="s">
        <v>13</v>
      </c>
      <c r="Q11" s="4" t="s">
        <v>13</v>
      </c>
      <c r="R11" s="3" t="s">
        <v>13</v>
      </c>
      <c r="S11" s="3" t="s">
        <v>13</v>
      </c>
      <c r="T11" s="3" t="s">
        <v>30</v>
      </c>
      <c r="U11" t="str">
        <f t="shared" si="0"/>
        <v>26628MANOS IMPLEMENTOS RODOVIARIOS</v>
      </c>
    </row>
    <row r="12" spans="1:21" ht="15" customHeight="1" x14ac:dyDescent="0.25">
      <c r="A12" s="3" t="s">
        <v>20</v>
      </c>
      <c r="B12" s="3" t="s">
        <v>357</v>
      </c>
      <c r="C12" s="4" t="s">
        <v>338</v>
      </c>
      <c r="D12" s="3" t="s">
        <v>36</v>
      </c>
      <c r="E12" s="4" t="s">
        <v>358</v>
      </c>
      <c r="F12" s="5" t="s">
        <v>340</v>
      </c>
      <c r="G12" s="3" t="s">
        <v>136</v>
      </c>
      <c r="H12" s="3" t="s">
        <v>341</v>
      </c>
      <c r="I12" s="3" t="s">
        <v>16</v>
      </c>
      <c r="J12" s="4" t="s">
        <v>342</v>
      </c>
      <c r="K12" s="3" t="s">
        <v>21</v>
      </c>
      <c r="L12" s="3" t="s">
        <v>334</v>
      </c>
      <c r="M12" s="3" t="s">
        <v>16</v>
      </c>
      <c r="N12" s="3" t="s">
        <v>343</v>
      </c>
      <c r="O12" s="5" t="s">
        <v>13</v>
      </c>
      <c r="P12" s="4" t="s">
        <v>13</v>
      </c>
      <c r="Q12" s="4" t="s">
        <v>13</v>
      </c>
      <c r="R12" s="3" t="s">
        <v>13</v>
      </c>
      <c r="S12" s="3" t="s">
        <v>13</v>
      </c>
      <c r="T12" s="3" t="s">
        <v>30</v>
      </c>
      <c r="U12" t="str">
        <f t="shared" si="0"/>
        <v>26626MANOS IMPLEMENTOS RODOVIARIOS</v>
      </c>
    </row>
    <row r="13" spans="1:21" ht="15" customHeight="1" x14ac:dyDescent="0.25">
      <c r="A13" s="3" t="s">
        <v>20</v>
      </c>
      <c r="B13" s="3" t="s">
        <v>359</v>
      </c>
      <c r="C13" s="4" t="s">
        <v>338</v>
      </c>
      <c r="D13" s="3" t="s">
        <v>36</v>
      </c>
      <c r="E13" s="4" t="s">
        <v>360</v>
      </c>
      <c r="F13" s="5" t="s">
        <v>340</v>
      </c>
      <c r="G13" s="3" t="s">
        <v>136</v>
      </c>
      <c r="H13" s="3" t="s">
        <v>341</v>
      </c>
      <c r="I13" s="3" t="s">
        <v>16</v>
      </c>
      <c r="J13" s="4" t="s">
        <v>342</v>
      </c>
      <c r="K13" s="3" t="s">
        <v>21</v>
      </c>
      <c r="L13" s="3" t="s">
        <v>334</v>
      </c>
      <c r="M13" s="3" t="s">
        <v>16</v>
      </c>
      <c r="N13" s="3" t="s">
        <v>343</v>
      </c>
      <c r="O13" s="5" t="s">
        <v>13</v>
      </c>
      <c r="P13" s="4" t="s">
        <v>13</v>
      </c>
      <c r="Q13" s="4" t="s">
        <v>13</v>
      </c>
      <c r="R13" s="3" t="s">
        <v>13</v>
      </c>
      <c r="S13" s="3" t="s">
        <v>13</v>
      </c>
      <c r="T13" s="3" t="s">
        <v>30</v>
      </c>
      <c r="U13" t="str">
        <f t="shared" si="0"/>
        <v>26634MANOS IMPLEMENTOS RODOVIARIOS</v>
      </c>
    </row>
    <row r="14" spans="1:21" ht="15" customHeight="1" x14ac:dyDescent="0.25">
      <c r="A14" s="16" t="s">
        <v>20</v>
      </c>
      <c r="B14" s="16" t="s">
        <v>361</v>
      </c>
      <c r="C14" s="17" t="s">
        <v>362</v>
      </c>
      <c r="D14" s="16" t="s">
        <v>239</v>
      </c>
      <c r="E14" s="17" t="s">
        <v>363</v>
      </c>
      <c r="F14" s="18" t="s">
        <v>364</v>
      </c>
      <c r="G14" s="16" t="s">
        <v>136</v>
      </c>
      <c r="H14" s="16" t="s">
        <v>341</v>
      </c>
      <c r="I14" s="16" t="s">
        <v>24</v>
      </c>
      <c r="J14" s="17" t="s">
        <v>365</v>
      </c>
      <c r="K14" s="16" t="s">
        <v>366</v>
      </c>
      <c r="L14" s="16" t="s">
        <v>334</v>
      </c>
      <c r="M14" s="16" t="s">
        <v>24</v>
      </c>
      <c r="N14" s="16" t="s">
        <v>367</v>
      </c>
      <c r="O14" s="18" t="s">
        <v>13</v>
      </c>
      <c r="P14" s="17" t="s">
        <v>13</v>
      </c>
      <c r="Q14" s="17" t="s">
        <v>13</v>
      </c>
      <c r="R14" s="16" t="s">
        <v>13</v>
      </c>
      <c r="S14" s="16" t="s">
        <v>13</v>
      </c>
      <c r="T14" s="16" t="s">
        <v>30</v>
      </c>
      <c r="U14" t="str">
        <f t="shared" si="0"/>
        <v>3196UAI MADEIRAS LTDA</v>
      </c>
    </row>
    <row r="15" spans="1:21" ht="15" customHeight="1" x14ac:dyDescent="0.25">
      <c r="A15" s="3" t="s">
        <v>20</v>
      </c>
      <c r="B15" s="3" t="s">
        <v>368</v>
      </c>
      <c r="C15" s="4" t="s">
        <v>338</v>
      </c>
      <c r="D15" s="3" t="s">
        <v>36</v>
      </c>
      <c r="E15" s="4" t="s">
        <v>369</v>
      </c>
      <c r="F15" s="5" t="s">
        <v>340</v>
      </c>
      <c r="G15" s="3" t="s">
        <v>136</v>
      </c>
      <c r="H15" s="3" t="s">
        <v>341</v>
      </c>
      <c r="I15" s="3" t="s">
        <v>16</v>
      </c>
      <c r="J15" s="4" t="s">
        <v>342</v>
      </c>
      <c r="K15" s="3" t="s">
        <v>21</v>
      </c>
      <c r="L15" s="3" t="s">
        <v>334</v>
      </c>
      <c r="M15" s="3" t="s">
        <v>16</v>
      </c>
      <c r="N15" s="3" t="s">
        <v>343</v>
      </c>
      <c r="O15" s="5" t="s">
        <v>13</v>
      </c>
      <c r="P15" s="4" t="s">
        <v>13</v>
      </c>
      <c r="Q15" s="4" t="s">
        <v>13</v>
      </c>
      <c r="R15" s="3" t="s">
        <v>13</v>
      </c>
      <c r="S15" s="3" t="s">
        <v>13</v>
      </c>
      <c r="T15" s="3" t="s">
        <v>30</v>
      </c>
      <c r="U15" t="str">
        <f t="shared" si="0"/>
        <v>26632MANOS IMPLEMENTOS RODOVIARIOS</v>
      </c>
    </row>
    <row r="16" spans="1:21" ht="15" customHeight="1" x14ac:dyDescent="0.25">
      <c r="A16" s="3" t="s">
        <v>20</v>
      </c>
      <c r="B16" s="3" t="s">
        <v>370</v>
      </c>
      <c r="C16" s="4" t="s">
        <v>338</v>
      </c>
      <c r="D16" s="3" t="s">
        <v>36</v>
      </c>
      <c r="E16" s="4" t="s">
        <v>371</v>
      </c>
      <c r="F16" s="5" t="s">
        <v>340</v>
      </c>
      <c r="G16" s="3" t="s">
        <v>136</v>
      </c>
      <c r="H16" s="3" t="s">
        <v>341</v>
      </c>
      <c r="I16" s="3" t="s">
        <v>16</v>
      </c>
      <c r="J16" s="4" t="s">
        <v>342</v>
      </c>
      <c r="K16" s="3" t="s">
        <v>21</v>
      </c>
      <c r="L16" s="3" t="s">
        <v>334</v>
      </c>
      <c r="M16" s="3" t="s">
        <v>16</v>
      </c>
      <c r="N16" s="3" t="s">
        <v>343</v>
      </c>
      <c r="O16" s="5" t="s">
        <v>13</v>
      </c>
      <c r="P16" s="4" t="s">
        <v>13</v>
      </c>
      <c r="Q16" s="4" t="s">
        <v>13</v>
      </c>
      <c r="R16" s="3" t="s">
        <v>13</v>
      </c>
      <c r="S16" s="3" t="s">
        <v>13</v>
      </c>
      <c r="T16" s="3" t="s">
        <v>30</v>
      </c>
      <c r="U16" t="str">
        <f t="shared" si="0"/>
        <v>26633MANOS IMPLEMENTOS RODOVIARIOS</v>
      </c>
    </row>
    <row r="17" spans="1:21" ht="15" customHeight="1" x14ac:dyDescent="0.25">
      <c r="A17" s="3" t="s">
        <v>20</v>
      </c>
      <c r="B17" s="3" t="s">
        <v>372</v>
      </c>
      <c r="C17" s="4" t="s">
        <v>338</v>
      </c>
      <c r="D17" s="3" t="s">
        <v>36</v>
      </c>
      <c r="E17" s="4" t="s">
        <v>373</v>
      </c>
      <c r="F17" s="5" t="s">
        <v>340</v>
      </c>
      <c r="G17" s="3" t="s">
        <v>136</v>
      </c>
      <c r="H17" s="3" t="s">
        <v>341</v>
      </c>
      <c r="I17" s="3" t="s">
        <v>16</v>
      </c>
      <c r="J17" s="4" t="s">
        <v>342</v>
      </c>
      <c r="K17" s="3" t="s">
        <v>21</v>
      </c>
      <c r="L17" s="3" t="s">
        <v>334</v>
      </c>
      <c r="M17" s="3" t="s">
        <v>16</v>
      </c>
      <c r="N17" s="3" t="s">
        <v>343</v>
      </c>
      <c r="O17" s="5" t="s">
        <v>13</v>
      </c>
      <c r="P17" s="4" t="s">
        <v>13</v>
      </c>
      <c r="Q17" s="4" t="s">
        <v>13</v>
      </c>
      <c r="R17" s="3" t="s">
        <v>13</v>
      </c>
      <c r="S17" s="3" t="s">
        <v>13</v>
      </c>
      <c r="T17" s="3" t="s">
        <v>30</v>
      </c>
      <c r="U17" t="str">
        <f t="shared" si="0"/>
        <v>26629MANOS IMPLEMENTOS RODOVIARIOS</v>
      </c>
    </row>
    <row r="18" spans="1:21" ht="15" customHeight="1" x14ac:dyDescent="0.25">
      <c r="A18" s="16" t="s">
        <v>20</v>
      </c>
      <c r="B18" s="16" t="s">
        <v>374</v>
      </c>
      <c r="C18" s="17" t="s">
        <v>375</v>
      </c>
      <c r="D18" s="16" t="s">
        <v>237</v>
      </c>
      <c r="E18" s="17" t="s">
        <v>376</v>
      </c>
      <c r="F18" s="18" t="s">
        <v>377</v>
      </c>
      <c r="G18" s="16" t="s">
        <v>153</v>
      </c>
      <c r="H18" s="16" t="s">
        <v>378</v>
      </c>
      <c r="I18" s="16" t="s">
        <v>24</v>
      </c>
      <c r="J18" s="17" t="s">
        <v>134</v>
      </c>
      <c r="K18" s="16" t="s">
        <v>366</v>
      </c>
      <c r="L18" s="16" t="s">
        <v>334</v>
      </c>
      <c r="M18" s="16" t="s">
        <v>24</v>
      </c>
      <c r="N18" s="16" t="s">
        <v>379</v>
      </c>
      <c r="O18" s="18" t="s">
        <v>13</v>
      </c>
      <c r="P18" s="17" t="s">
        <v>13</v>
      </c>
      <c r="Q18" s="17" t="s">
        <v>13</v>
      </c>
      <c r="R18" s="16" t="s">
        <v>13</v>
      </c>
      <c r="S18" s="16" t="s">
        <v>13</v>
      </c>
      <c r="T18" s="16" t="s">
        <v>30</v>
      </c>
      <c r="U18" t="str">
        <f t="shared" si="0"/>
        <v>20784TERRA PNEUS LTDA  ME</v>
      </c>
    </row>
    <row r="19" spans="1:21" ht="15" customHeight="1" x14ac:dyDescent="0.25">
      <c r="A19" s="3" t="s">
        <v>20</v>
      </c>
      <c r="B19" s="3" t="s">
        <v>380</v>
      </c>
      <c r="C19" s="4" t="s">
        <v>381</v>
      </c>
      <c r="D19" s="3" t="s">
        <v>382</v>
      </c>
      <c r="E19" s="4" t="s">
        <v>383</v>
      </c>
      <c r="F19" s="5" t="s">
        <v>384</v>
      </c>
      <c r="G19" s="3" t="s">
        <v>385</v>
      </c>
      <c r="H19" s="3" t="s">
        <v>386</v>
      </c>
      <c r="I19" s="3" t="s">
        <v>16</v>
      </c>
      <c r="J19" s="4" t="s">
        <v>387</v>
      </c>
      <c r="K19" s="3" t="s">
        <v>21</v>
      </c>
      <c r="L19" s="3" t="s">
        <v>388</v>
      </c>
      <c r="M19" s="3" t="s">
        <v>16</v>
      </c>
      <c r="N19" s="3" t="s">
        <v>389</v>
      </c>
      <c r="O19" s="5" t="s">
        <v>390</v>
      </c>
      <c r="P19" s="4" t="s">
        <v>17</v>
      </c>
      <c r="Q19" s="4" t="s">
        <v>19</v>
      </c>
      <c r="R19" s="3" t="s">
        <v>37</v>
      </c>
      <c r="S19" s="6" t="s">
        <v>15</v>
      </c>
      <c r="T19" s="3" t="s">
        <v>30</v>
      </c>
      <c r="U19" t="str">
        <f t="shared" si="0"/>
        <v>1127M.MARIANO COELHO COMERCIO DE PECAS</v>
      </c>
    </row>
    <row r="20" spans="1:21" ht="15" customHeight="1" x14ac:dyDescent="0.25">
      <c r="A20" s="3" t="s">
        <v>20</v>
      </c>
      <c r="B20" s="3" t="s">
        <v>46</v>
      </c>
      <c r="C20" s="4" t="s">
        <v>18</v>
      </c>
      <c r="D20" s="3" t="s">
        <v>36</v>
      </c>
      <c r="E20" s="4" t="s">
        <v>47</v>
      </c>
      <c r="F20" s="5" t="s">
        <v>41</v>
      </c>
      <c r="G20" s="3" t="s">
        <v>121</v>
      </c>
      <c r="H20" s="3" t="s">
        <v>122</v>
      </c>
      <c r="I20" s="3" t="s">
        <v>16</v>
      </c>
      <c r="J20" s="4" t="s">
        <v>48</v>
      </c>
      <c r="K20" s="3" t="s">
        <v>21</v>
      </c>
      <c r="L20" s="19" t="s">
        <v>388</v>
      </c>
      <c r="M20" s="3" t="s">
        <v>16</v>
      </c>
      <c r="N20" s="3" t="s">
        <v>42</v>
      </c>
      <c r="O20" s="5" t="s">
        <v>41</v>
      </c>
      <c r="P20" s="4" t="s">
        <v>17</v>
      </c>
      <c r="Q20" s="4" t="s">
        <v>19</v>
      </c>
      <c r="R20" s="3" t="s">
        <v>37</v>
      </c>
      <c r="S20" s="6" t="s">
        <v>15</v>
      </c>
      <c r="T20" s="3" t="s">
        <v>30</v>
      </c>
      <c r="U20" t="str">
        <f t="shared" si="0"/>
        <v>2105IRMAOS SILVA S/A</v>
      </c>
    </row>
    <row r="21" spans="1:21" ht="15" customHeight="1" x14ac:dyDescent="0.25">
      <c r="A21" s="3" t="s">
        <v>20</v>
      </c>
      <c r="B21" s="3" t="s">
        <v>49</v>
      </c>
      <c r="C21" s="4" t="s">
        <v>18</v>
      </c>
      <c r="D21" s="3" t="s">
        <v>36</v>
      </c>
      <c r="E21" s="4" t="s">
        <v>50</v>
      </c>
      <c r="F21" s="5" t="s">
        <v>39</v>
      </c>
      <c r="G21" s="3" t="s">
        <v>43</v>
      </c>
      <c r="H21" s="3" t="s">
        <v>122</v>
      </c>
      <c r="I21" s="3" t="s">
        <v>16</v>
      </c>
      <c r="J21" s="4" t="s">
        <v>48</v>
      </c>
      <c r="K21" s="3" t="s">
        <v>21</v>
      </c>
      <c r="L21" s="19" t="s">
        <v>388</v>
      </c>
      <c r="M21" s="3" t="s">
        <v>16</v>
      </c>
      <c r="N21" s="3" t="s">
        <v>40</v>
      </c>
      <c r="O21" s="5" t="s">
        <v>39</v>
      </c>
      <c r="P21" s="4" t="s">
        <v>17</v>
      </c>
      <c r="Q21" s="4" t="s">
        <v>19</v>
      </c>
      <c r="R21" s="3" t="s">
        <v>37</v>
      </c>
      <c r="S21" s="6" t="s">
        <v>15</v>
      </c>
      <c r="T21" s="3" t="s">
        <v>30</v>
      </c>
      <c r="U21" t="str">
        <f t="shared" si="0"/>
        <v>2106IRMAOS SILVA S/A</v>
      </c>
    </row>
    <row r="22" spans="1:21" ht="15" customHeight="1" x14ac:dyDescent="0.25">
      <c r="A22" s="3" t="s">
        <v>20</v>
      </c>
      <c r="B22" s="3" t="s">
        <v>56</v>
      </c>
      <c r="C22" s="4" t="s">
        <v>44</v>
      </c>
      <c r="D22" s="3" t="s">
        <v>123</v>
      </c>
      <c r="E22" s="4" t="s">
        <v>57</v>
      </c>
      <c r="F22" s="5" t="s">
        <v>65</v>
      </c>
      <c r="G22" s="3" t="s">
        <v>58</v>
      </c>
      <c r="H22" s="3" t="s">
        <v>124</v>
      </c>
      <c r="I22" s="3" t="s">
        <v>16</v>
      </c>
      <c r="J22" s="4" t="s">
        <v>45</v>
      </c>
      <c r="K22" s="3" t="s">
        <v>21</v>
      </c>
      <c r="L22" s="19" t="s">
        <v>388</v>
      </c>
      <c r="M22" s="3" t="s">
        <v>16</v>
      </c>
      <c r="N22" s="3" t="s">
        <v>59</v>
      </c>
      <c r="O22" s="5" t="s">
        <v>65</v>
      </c>
      <c r="P22" s="4" t="s">
        <v>17</v>
      </c>
      <c r="Q22" s="4" t="s">
        <v>19</v>
      </c>
      <c r="R22" s="3" t="s">
        <v>37</v>
      </c>
      <c r="S22" s="6" t="s">
        <v>15</v>
      </c>
      <c r="T22" s="3" t="s">
        <v>30</v>
      </c>
      <c r="U22" t="str">
        <f t="shared" si="0"/>
        <v>314356RENAUTO DIST. DE PECAS AUTOMOTIVAS LTDA</v>
      </c>
    </row>
    <row r="23" spans="1:21" ht="15" customHeight="1" x14ac:dyDescent="0.25">
      <c r="A23" s="3" t="s">
        <v>20</v>
      </c>
      <c r="B23" s="3" t="s">
        <v>238</v>
      </c>
      <c r="C23" s="4" t="s">
        <v>190</v>
      </c>
      <c r="D23" s="3" t="s">
        <v>239</v>
      </c>
      <c r="E23" s="4" t="s">
        <v>240</v>
      </c>
      <c r="F23" s="5" t="s">
        <v>241</v>
      </c>
      <c r="G23" s="3" t="s">
        <v>66</v>
      </c>
      <c r="H23" s="3" t="s">
        <v>391</v>
      </c>
      <c r="I23" s="3" t="s">
        <v>16</v>
      </c>
      <c r="J23" s="4" t="s">
        <v>193</v>
      </c>
      <c r="K23" s="3" t="s">
        <v>21</v>
      </c>
      <c r="L23" s="3" t="s">
        <v>334</v>
      </c>
      <c r="M23" s="3" t="s">
        <v>16</v>
      </c>
      <c r="N23" s="3" t="s">
        <v>13</v>
      </c>
      <c r="O23" s="5" t="s">
        <v>13</v>
      </c>
      <c r="P23" s="4" t="s">
        <v>17</v>
      </c>
      <c r="Q23" s="4" t="s">
        <v>13</v>
      </c>
      <c r="R23" s="3" t="s">
        <v>13</v>
      </c>
      <c r="S23" s="3" t="s">
        <v>13</v>
      </c>
      <c r="T23" s="3" t="s">
        <v>30</v>
      </c>
      <c r="U23" t="str">
        <f t="shared" si="0"/>
        <v>3593WN PECAS DIESEL LTDA</v>
      </c>
    </row>
    <row r="24" spans="1:21" ht="15" customHeight="1" x14ac:dyDescent="0.25">
      <c r="A24" s="20" t="s">
        <v>20</v>
      </c>
      <c r="B24" s="20" t="s">
        <v>125</v>
      </c>
      <c r="C24" s="21" t="s">
        <v>33</v>
      </c>
      <c r="D24" s="20" t="s">
        <v>89</v>
      </c>
      <c r="E24" s="21" t="s">
        <v>126</v>
      </c>
      <c r="F24" s="22" t="s">
        <v>93</v>
      </c>
      <c r="G24" s="20" t="s">
        <v>127</v>
      </c>
      <c r="H24" s="20" t="s">
        <v>90</v>
      </c>
      <c r="I24" s="20" t="s">
        <v>16</v>
      </c>
      <c r="J24" s="21" t="s">
        <v>34</v>
      </c>
      <c r="K24" s="20" t="s">
        <v>21</v>
      </c>
      <c r="L24" s="19" t="s">
        <v>336</v>
      </c>
      <c r="M24" s="20" t="s">
        <v>16</v>
      </c>
      <c r="N24" s="20" t="s">
        <v>92</v>
      </c>
      <c r="O24" s="22" t="s">
        <v>93</v>
      </c>
      <c r="P24" s="21" t="s">
        <v>19</v>
      </c>
      <c r="Q24" s="21" t="s">
        <v>19</v>
      </c>
      <c r="R24" s="20" t="s">
        <v>35</v>
      </c>
      <c r="S24" s="6" t="s">
        <v>15</v>
      </c>
      <c r="T24" s="20" t="s">
        <v>30</v>
      </c>
      <c r="U24" t="str">
        <f t="shared" si="0"/>
        <v>12489MANG EXPRESS COMERCIO NORTE LTDA</v>
      </c>
    </row>
    <row r="25" spans="1:21" ht="15" customHeight="1" x14ac:dyDescent="0.25">
      <c r="A25" s="20" t="s">
        <v>20</v>
      </c>
      <c r="B25" s="20" t="s">
        <v>242</v>
      </c>
      <c r="C25" s="21" t="s">
        <v>33</v>
      </c>
      <c r="D25" s="20" t="s">
        <v>88</v>
      </c>
      <c r="E25" s="21" t="s">
        <v>243</v>
      </c>
      <c r="F25" s="22" t="s">
        <v>244</v>
      </c>
      <c r="G25" s="20" t="s">
        <v>91</v>
      </c>
      <c r="H25" s="20" t="s">
        <v>90</v>
      </c>
      <c r="I25" s="20" t="s">
        <v>16</v>
      </c>
      <c r="J25" s="21" t="s">
        <v>34</v>
      </c>
      <c r="K25" s="20" t="s">
        <v>21</v>
      </c>
      <c r="L25" s="19" t="s">
        <v>334</v>
      </c>
      <c r="M25" s="20" t="s">
        <v>16</v>
      </c>
      <c r="N25" s="20" t="s">
        <v>92</v>
      </c>
      <c r="O25" s="22" t="s">
        <v>93</v>
      </c>
      <c r="P25" s="21" t="s">
        <v>19</v>
      </c>
      <c r="Q25" s="21" t="s">
        <v>19</v>
      </c>
      <c r="R25" s="20" t="s">
        <v>35</v>
      </c>
      <c r="S25" s="6" t="s">
        <v>15</v>
      </c>
      <c r="T25" s="20" t="s">
        <v>30</v>
      </c>
      <c r="U25" t="str">
        <f t="shared" si="0"/>
        <v>12466MANG EXPRESS COMERCIO NORTE LTDA</v>
      </c>
    </row>
    <row r="26" spans="1:21" ht="15" customHeight="1" x14ac:dyDescent="0.25">
      <c r="A26" s="10" t="s">
        <v>20</v>
      </c>
      <c r="B26" s="10" t="s">
        <v>128</v>
      </c>
      <c r="C26" s="11" t="s">
        <v>129</v>
      </c>
      <c r="D26" s="10" t="s">
        <v>60</v>
      </c>
      <c r="E26" s="11" t="s">
        <v>130</v>
      </c>
      <c r="F26" s="12" t="s">
        <v>131</v>
      </c>
      <c r="G26" s="10" t="s">
        <v>132</v>
      </c>
      <c r="H26" s="10" t="s">
        <v>133</v>
      </c>
      <c r="I26" s="10" t="s">
        <v>16</v>
      </c>
      <c r="J26" s="11" t="s">
        <v>134</v>
      </c>
      <c r="K26" s="10" t="s">
        <v>21</v>
      </c>
      <c r="L26" s="19" t="s">
        <v>336</v>
      </c>
      <c r="M26" s="10" t="s">
        <v>16</v>
      </c>
      <c r="N26" s="10" t="s">
        <v>135</v>
      </c>
      <c r="O26" s="12" t="s">
        <v>13</v>
      </c>
      <c r="P26" s="11" t="s">
        <v>13</v>
      </c>
      <c r="Q26" s="11" t="s">
        <v>13</v>
      </c>
      <c r="R26" s="10" t="s">
        <v>13</v>
      </c>
      <c r="S26" s="10" t="s">
        <v>13</v>
      </c>
      <c r="T26" s="10" t="s">
        <v>30</v>
      </c>
      <c r="U26" t="str">
        <f t="shared" si="0"/>
        <v>9000MANG MAC  AUTO MANGUEIRAS</v>
      </c>
    </row>
    <row r="27" spans="1:21" ht="15" customHeight="1" x14ac:dyDescent="0.25">
      <c r="A27" s="10" t="s">
        <v>20</v>
      </c>
      <c r="B27" s="10" t="s">
        <v>78</v>
      </c>
      <c r="C27" s="11" t="s">
        <v>33</v>
      </c>
      <c r="D27" s="10" t="s">
        <v>136</v>
      </c>
      <c r="E27" s="11" t="s">
        <v>79</v>
      </c>
      <c r="F27" s="12" t="s">
        <v>80</v>
      </c>
      <c r="G27" s="10" t="s">
        <v>137</v>
      </c>
      <c r="H27" s="10" t="s">
        <v>138</v>
      </c>
      <c r="I27" s="10" t="s">
        <v>16</v>
      </c>
      <c r="J27" s="11" t="s">
        <v>34</v>
      </c>
      <c r="K27" s="10" t="s">
        <v>21</v>
      </c>
      <c r="L27" s="19" t="s">
        <v>336</v>
      </c>
      <c r="M27" s="10" t="s">
        <v>16</v>
      </c>
      <c r="N27" s="10" t="s">
        <v>81</v>
      </c>
      <c r="O27" s="12" t="s">
        <v>80</v>
      </c>
      <c r="P27" s="11" t="s">
        <v>17</v>
      </c>
      <c r="Q27" s="11" t="s">
        <v>19</v>
      </c>
      <c r="R27" s="10" t="s">
        <v>60</v>
      </c>
      <c r="S27" s="6" t="s">
        <v>15</v>
      </c>
      <c r="T27" s="10" t="s">
        <v>30</v>
      </c>
      <c r="U27" t="str">
        <f t="shared" si="0"/>
        <v>12421MANG EXPRESS COMERCIO NORTE LTDA</v>
      </c>
    </row>
    <row r="28" spans="1:21" ht="15" customHeight="1" x14ac:dyDescent="0.25">
      <c r="A28" s="10" t="s">
        <v>20</v>
      </c>
      <c r="B28" s="10" t="s">
        <v>82</v>
      </c>
      <c r="C28" s="11" t="s">
        <v>72</v>
      </c>
      <c r="D28" s="10" t="s">
        <v>69</v>
      </c>
      <c r="E28" s="11" t="s">
        <v>83</v>
      </c>
      <c r="F28" s="12" t="s">
        <v>84</v>
      </c>
      <c r="G28" s="10" t="s">
        <v>13</v>
      </c>
      <c r="H28" s="10" t="s">
        <v>139</v>
      </c>
      <c r="I28" s="10" t="s">
        <v>16</v>
      </c>
      <c r="J28" s="11" t="s">
        <v>85</v>
      </c>
      <c r="K28" s="10" t="s">
        <v>21</v>
      </c>
      <c r="L28" s="19" t="s">
        <v>388</v>
      </c>
      <c r="M28" s="10" t="s">
        <v>16</v>
      </c>
      <c r="N28" s="10" t="s">
        <v>86</v>
      </c>
      <c r="O28" s="12" t="s">
        <v>87</v>
      </c>
      <c r="P28" s="11" t="s">
        <v>73</v>
      </c>
      <c r="Q28" s="11" t="s">
        <v>25</v>
      </c>
      <c r="R28" s="10" t="s">
        <v>60</v>
      </c>
      <c r="S28" s="6" t="s">
        <v>15</v>
      </c>
      <c r="T28" s="10" t="s">
        <v>30</v>
      </c>
      <c r="U28" t="str">
        <f t="shared" si="0"/>
        <v>1899SRJ AUTOPECAS LTDA</v>
      </c>
    </row>
    <row r="29" spans="1:21" ht="15" customHeight="1" x14ac:dyDescent="0.25">
      <c r="A29" s="10" t="s">
        <v>20</v>
      </c>
      <c r="B29" s="10" t="s">
        <v>140</v>
      </c>
      <c r="C29" s="11" t="s">
        <v>141</v>
      </c>
      <c r="D29" s="10" t="s">
        <v>66</v>
      </c>
      <c r="E29" s="11" t="s">
        <v>142</v>
      </c>
      <c r="F29" s="12" t="s">
        <v>143</v>
      </c>
      <c r="G29" s="10" t="s">
        <v>13</v>
      </c>
      <c r="H29" s="10" t="s">
        <v>67</v>
      </c>
      <c r="I29" s="10" t="s">
        <v>26</v>
      </c>
      <c r="J29" s="11" t="s">
        <v>111</v>
      </c>
      <c r="K29" s="10" t="s">
        <v>21</v>
      </c>
      <c r="L29" s="19" t="s">
        <v>336</v>
      </c>
      <c r="M29" s="10" t="s">
        <v>26</v>
      </c>
      <c r="N29" s="10" t="s">
        <v>144</v>
      </c>
      <c r="O29" s="12" t="s">
        <v>143</v>
      </c>
      <c r="P29" s="11" t="s">
        <v>73</v>
      </c>
      <c r="Q29" s="11" t="s">
        <v>25</v>
      </c>
      <c r="R29" s="10" t="s">
        <v>70</v>
      </c>
      <c r="S29" s="6" t="s">
        <v>15</v>
      </c>
      <c r="T29" s="10" t="s">
        <v>30</v>
      </c>
      <c r="U29" t="str">
        <f t="shared" si="0"/>
        <v>97INDUSTRIA CERAMICA PADRE LIBERIO LTDA</v>
      </c>
    </row>
    <row r="30" spans="1:21" ht="15" customHeight="1" x14ac:dyDescent="0.25">
      <c r="A30" s="10" t="s">
        <v>20</v>
      </c>
      <c r="B30" s="10" t="s">
        <v>392</v>
      </c>
      <c r="C30" s="11" t="s">
        <v>52</v>
      </c>
      <c r="D30" s="10" t="s">
        <v>136</v>
      </c>
      <c r="E30" s="11" t="s">
        <v>393</v>
      </c>
      <c r="F30" s="12" t="s">
        <v>76</v>
      </c>
      <c r="G30" s="10" t="s">
        <v>394</v>
      </c>
      <c r="H30" s="10" t="s">
        <v>145</v>
      </c>
      <c r="I30" s="10" t="s">
        <v>176</v>
      </c>
      <c r="J30" s="11" t="s">
        <v>395</v>
      </c>
      <c r="K30" s="10" t="s">
        <v>21</v>
      </c>
      <c r="L30" s="10" t="s">
        <v>396</v>
      </c>
      <c r="M30" s="10" t="s">
        <v>176</v>
      </c>
      <c r="N30" s="10" t="s">
        <v>13</v>
      </c>
      <c r="O30" s="12" t="s">
        <v>13</v>
      </c>
      <c r="P30" s="11" t="s">
        <v>17</v>
      </c>
      <c r="Q30" s="11" t="s">
        <v>13</v>
      </c>
      <c r="R30" s="10" t="s">
        <v>13</v>
      </c>
      <c r="S30" s="10" t="s">
        <v>13</v>
      </c>
      <c r="T30" s="10" t="s">
        <v>279</v>
      </c>
      <c r="U30" t="str">
        <f t="shared" si="0"/>
        <v>5302D CAMINHO CAMINHOES LTDA</v>
      </c>
    </row>
    <row r="31" spans="1:21" ht="15" customHeight="1" x14ac:dyDescent="0.25">
      <c r="A31" s="10" t="s">
        <v>20</v>
      </c>
      <c r="B31" s="10" t="s">
        <v>96</v>
      </c>
      <c r="C31" s="11" t="s">
        <v>22</v>
      </c>
      <c r="D31" s="10" t="s">
        <v>88</v>
      </c>
      <c r="E31" s="11" t="s">
        <v>97</v>
      </c>
      <c r="F31" s="12" t="s">
        <v>98</v>
      </c>
      <c r="G31" s="10" t="s">
        <v>91</v>
      </c>
      <c r="H31" s="10" t="s">
        <v>145</v>
      </c>
      <c r="I31" s="10" t="s">
        <v>16</v>
      </c>
      <c r="J31" s="11" t="s">
        <v>29</v>
      </c>
      <c r="K31" s="10" t="s">
        <v>21</v>
      </c>
      <c r="L31" s="19" t="s">
        <v>388</v>
      </c>
      <c r="M31" s="10" t="s">
        <v>16</v>
      </c>
      <c r="N31" s="10" t="s">
        <v>99</v>
      </c>
      <c r="O31" s="12" t="s">
        <v>100</v>
      </c>
      <c r="P31" s="11" t="s">
        <v>17</v>
      </c>
      <c r="Q31" s="11" t="s">
        <v>19</v>
      </c>
      <c r="R31" s="10" t="s">
        <v>89</v>
      </c>
      <c r="S31" s="6" t="s">
        <v>15</v>
      </c>
      <c r="T31" s="10" t="s">
        <v>30</v>
      </c>
      <c r="U31" t="str">
        <f t="shared" si="0"/>
        <v>12842KOMATSU FOREST IND E COM DE MAQUINAS FLO</v>
      </c>
    </row>
    <row r="32" spans="1:21" ht="15" customHeight="1" x14ac:dyDescent="0.25">
      <c r="A32" s="10" t="s">
        <v>20</v>
      </c>
      <c r="B32" s="10" t="s">
        <v>146</v>
      </c>
      <c r="C32" s="11" t="s">
        <v>147</v>
      </c>
      <c r="D32" s="10" t="s">
        <v>66</v>
      </c>
      <c r="E32" s="11" t="s">
        <v>148</v>
      </c>
      <c r="F32" s="12" t="s">
        <v>149</v>
      </c>
      <c r="G32" s="10" t="s">
        <v>150</v>
      </c>
      <c r="H32" s="10" t="s">
        <v>71</v>
      </c>
      <c r="I32" s="10" t="s">
        <v>16</v>
      </c>
      <c r="J32" s="11" t="s">
        <v>151</v>
      </c>
      <c r="K32" s="10" t="s">
        <v>21</v>
      </c>
      <c r="L32" s="19" t="s">
        <v>336</v>
      </c>
      <c r="M32" s="10" t="s">
        <v>16</v>
      </c>
      <c r="N32" s="10" t="s">
        <v>152</v>
      </c>
      <c r="O32" s="12" t="s">
        <v>149</v>
      </c>
      <c r="P32" s="11" t="s">
        <v>73</v>
      </c>
      <c r="Q32" s="11" t="s">
        <v>25</v>
      </c>
      <c r="R32" s="10" t="s">
        <v>153</v>
      </c>
      <c r="S32" s="6" t="s">
        <v>15</v>
      </c>
      <c r="T32" s="10" t="s">
        <v>30</v>
      </c>
      <c r="U32" t="str">
        <f t="shared" si="0"/>
        <v>12619SKALLA AUTO PECAS LTDA  EPP</v>
      </c>
    </row>
    <row r="33" spans="1:21" ht="15" customHeight="1" x14ac:dyDescent="0.25">
      <c r="A33" s="10" t="s">
        <v>20</v>
      </c>
      <c r="B33" s="10" t="s">
        <v>101</v>
      </c>
      <c r="C33" s="11" t="s">
        <v>102</v>
      </c>
      <c r="D33" s="10" t="s">
        <v>88</v>
      </c>
      <c r="E33" s="11" t="s">
        <v>103</v>
      </c>
      <c r="F33" s="12" t="s">
        <v>104</v>
      </c>
      <c r="G33" s="10" t="s">
        <v>94</v>
      </c>
      <c r="H33" s="10" t="s">
        <v>71</v>
      </c>
      <c r="I33" s="10" t="s">
        <v>26</v>
      </c>
      <c r="J33" s="11" t="s">
        <v>85</v>
      </c>
      <c r="K33" s="10" t="s">
        <v>21</v>
      </c>
      <c r="L33" s="19" t="s">
        <v>336</v>
      </c>
      <c r="M33" s="10" t="s">
        <v>26</v>
      </c>
      <c r="N33" s="10" t="s">
        <v>105</v>
      </c>
      <c r="O33" s="12" t="s">
        <v>106</v>
      </c>
      <c r="P33" s="11" t="s">
        <v>17</v>
      </c>
      <c r="Q33" s="11" t="s">
        <v>19</v>
      </c>
      <c r="R33" s="10" t="s">
        <v>89</v>
      </c>
      <c r="S33" s="6" t="s">
        <v>15</v>
      </c>
      <c r="T33" s="10" t="s">
        <v>30</v>
      </c>
      <c r="U33" t="str">
        <f t="shared" si="0"/>
        <v>55439Rech Agricola S/A</v>
      </c>
    </row>
    <row r="34" spans="1:21" ht="15" customHeight="1" x14ac:dyDescent="0.25">
      <c r="A34" s="10" t="s">
        <v>20</v>
      </c>
      <c r="B34" s="10" t="s">
        <v>113</v>
      </c>
      <c r="C34" s="11" t="s">
        <v>114</v>
      </c>
      <c r="D34" s="10" t="s">
        <v>154</v>
      </c>
      <c r="E34" s="11" t="s">
        <v>115</v>
      </c>
      <c r="F34" s="12" t="s">
        <v>116</v>
      </c>
      <c r="G34" s="10" t="s">
        <v>117</v>
      </c>
      <c r="H34" s="10" t="s">
        <v>68</v>
      </c>
      <c r="I34" s="10" t="s">
        <v>16</v>
      </c>
      <c r="J34" s="11" t="s">
        <v>118</v>
      </c>
      <c r="K34" s="10" t="s">
        <v>21</v>
      </c>
      <c r="L34" s="19" t="s">
        <v>336</v>
      </c>
      <c r="M34" s="10" t="s">
        <v>16</v>
      </c>
      <c r="N34" s="10" t="s">
        <v>119</v>
      </c>
      <c r="O34" s="12" t="s">
        <v>116</v>
      </c>
      <c r="P34" s="11" t="s">
        <v>17</v>
      </c>
      <c r="Q34" s="11" t="s">
        <v>19</v>
      </c>
      <c r="R34" s="10" t="s">
        <v>88</v>
      </c>
      <c r="S34" s="6" t="s">
        <v>15</v>
      </c>
      <c r="T34" s="10" t="s">
        <v>30</v>
      </c>
      <c r="U34" t="str">
        <f t="shared" si="0"/>
        <v>1651INNOVA TRACTOR PECAS LTDA</v>
      </c>
    </row>
    <row r="35" spans="1:21" ht="15" customHeight="1" x14ac:dyDescent="0.25">
      <c r="A35" s="10" t="s">
        <v>20</v>
      </c>
      <c r="B35" s="10" t="s">
        <v>107</v>
      </c>
      <c r="C35" s="11" t="s">
        <v>108</v>
      </c>
      <c r="D35" s="10" t="s">
        <v>88</v>
      </c>
      <c r="E35" s="11" t="s">
        <v>109</v>
      </c>
      <c r="F35" s="12" t="s">
        <v>110</v>
      </c>
      <c r="G35" s="10" t="s">
        <v>13</v>
      </c>
      <c r="H35" s="10" t="s">
        <v>68</v>
      </c>
      <c r="I35" s="10" t="s">
        <v>24</v>
      </c>
      <c r="J35" s="11" t="s">
        <v>111</v>
      </c>
      <c r="K35" s="10" t="s">
        <v>21</v>
      </c>
      <c r="L35" s="19" t="s">
        <v>388</v>
      </c>
      <c r="M35" s="10" t="s">
        <v>24</v>
      </c>
      <c r="N35" s="10" t="s">
        <v>112</v>
      </c>
      <c r="O35" s="12" t="s">
        <v>110</v>
      </c>
      <c r="P35" s="11" t="s">
        <v>17</v>
      </c>
      <c r="Q35" s="11" t="s">
        <v>25</v>
      </c>
      <c r="R35" s="10" t="s">
        <v>95</v>
      </c>
      <c r="S35" s="6" t="s">
        <v>15</v>
      </c>
      <c r="T35" s="10" t="s">
        <v>30</v>
      </c>
      <c r="U35" t="str">
        <f t="shared" si="0"/>
        <v>42622CASA DO FAZENDEIRO PRODUTOS AGROPECUARIOS LTDA</v>
      </c>
    </row>
    <row r="36" spans="1:21" ht="15" customHeight="1" x14ac:dyDescent="0.25">
      <c r="A36" s="10" t="s">
        <v>20</v>
      </c>
      <c r="B36" s="10" t="s">
        <v>155</v>
      </c>
      <c r="C36" s="11" t="s">
        <v>156</v>
      </c>
      <c r="D36" s="10" t="s">
        <v>157</v>
      </c>
      <c r="E36" s="11" t="s">
        <v>158</v>
      </c>
      <c r="F36" s="12" t="s">
        <v>159</v>
      </c>
      <c r="G36" s="10" t="s">
        <v>13</v>
      </c>
      <c r="H36" s="10" t="s">
        <v>38</v>
      </c>
      <c r="I36" s="10" t="s">
        <v>16</v>
      </c>
      <c r="J36" s="11" t="s">
        <v>160</v>
      </c>
      <c r="K36" s="10" t="s">
        <v>21</v>
      </c>
      <c r="L36" s="19" t="s">
        <v>336</v>
      </c>
      <c r="M36" s="10" t="s">
        <v>16</v>
      </c>
      <c r="N36" s="10" t="s">
        <v>161</v>
      </c>
      <c r="O36" s="12" t="s">
        <v>162</v>
      </c>
      <c r="P36" s="11" t="s">
        <v>17</v>
      </c>
      <c r="Q36" s="11" t="s">
        <v>19</v>
      </c>
      <c r="R36" s="10" t="s">
        <v>89</v>
      </c>
      <c r="S36" s="6" t="s">
        <v>15</v>
      </c>
      <c r="T36" s="10" t="s">
        <v>30</v>
      </c>
      <c r="U36" t="str">
        <f t="shared" si="0"/>
        <v>27647ROTARY AX IND. COM. EQUIP. FLORESTAIS LTDA</v>
      </c>
    </row>
    <row r="37" spans="1:21" ht="15" customHeight="1" x14ac:dyDescent="0.25">
      <c r="A37" s="10" t="s">
        <v>20</v>
      </c>
      <c r="B37" s="10" t="s">
        <v>163</v>
      </c>
      <c r="C37" s="11" t="s">
        <v>33</v>
      </c>
      <c r="D37" s="10" t="s">
        <v>154</v>
      </c>
      <c r="E37" s="11" t="s">
        <v>164</v>
      </c>
      <c r="F37" s="12" t="s">
        <v>165</v>
      </c>
      <c r="G37" s="10" t="s">
        <v>13</v>
      </c>
      <c r="H37" s="10" t="s">
        <v>23</v>
      </c>
      <c r="I37" s="10" t="s">
        <v>16</v>
      </c>
      <c r="J37" s="11" t="s">
        <v>34</v>
      </c>
      <c r="K37" s="10" t="s">
        <v>21</v>
      </c>
      <c r="L37" s="19" t="s">
        <v>336</v>
      </c>
      <c r="M37" s="10" t="s">
        <v>16</v>
      </c>
      <c r="N37" s="10" t="s">
        <v>166</v>
      </c>
      <c r="O37" s="12" t="s">
        <v>165</v>
      </c>
      <c r="P37" s="11" t="s">
        <v>17</v>
      </c>
      <c r="Q37" s="11" t="s">
        <v>19</v>
      </c>
      <c r="R37" s="10" t="s">
        <v>66</v>
      </c>
      <c r="S37" s="6" t="s">
        <v>15</v>
      </c>
      <c r="T37" s="10" t="s">
        <v>30</v>
      </c>
      <c r="U37" t="str">
        <f t="shared" si="0"/>
        <v>12483MANG EXPRESS COMERCIO NORTE LTDA</v>
      </c>
    </row>
    <row r="38" spans="1:21" ht="15" customHeight="1" x14ac:dyDescent="0.25">
      <c r="A38" s="10" t="s">
        <v>20</v>
      </c>
      <c r="B38" s="10" t="s">
        <v>167</v>
      </c>
      <c r="C38" s="11" t="s">
        <v>168</v>
      </c>
      <c r="D38" s="10" t="s">
        <v>157</v>
      </c>
      <c r="E38" s="11" t="s">
        <v>169</v>
      </c>
      <c r="F38" s="12" t="s">
        <v>170</v>
      </c>
      <c r="G38" s="10" t="s">
        <v>64</v>
      </c>
      <c r="H38" s="10" t="s">
        <v>171</v>
      </c>
      <c r="I38" s="10" t="s">
        <v>26</v>
      </c>
      <c r="J38" s="11" t="s">
        <v>172</v>
      </c>
      <c r="K38" s="10" t="s">
        <v>21</v>
      </c>
      <c r="L38" s="19" t="s">
        <v>336</v>
      </c>
      <c r="M38" s="10" t="s">
        <v>26</v>
      </c>
      <c r="N38" s="10" t="s">
        <v>173</v>
      </c>
      <c r="O38" s="12" t="s">
        <v>13</v>
      </c>
      <c r="P38" s="11" t="s">
        <v>17</v>
      </c>
      <c r="Q38" s="11" t="s">
        <v>13</v>
      </c>
      <c r="R38" s="10" t="s">
        <v>13</v>
      </c>
      <c r="S38" s="10" t="s">
        <v>13</v>
      </c>
      <c r="T38" s="10" t="s">
        <v>30</v>
      </c>
      <c r="U38" t="str">
        <f t="shared" si="0"/>
        <v>2419ENGEPECAS EQUIPAMENTOS LTDA</v>
      </c>
    </row>
    <row r="39" spans="1:21" ht="15" customHeight="1" x14ac:dyDescent="0.25">
      <c r="A39" s="10" t="s">
        <v>20</v>
      </c>
      <c r="B39" s="10" t="s">
        <v>247</v>
      </c>
      <c r="C39" s="11" t="s">
        <v>22</v>
      </c>
      <c r="D39" s="10" t="s">
        <v>248</v>
      </c>
      <c r="E39" s="11" t="s">
        <v>249</v>
      </c>
      <c r="F39" s="12" t="s">
        <v>250</v>
      </c>
      <c r="G39" s="10" t="s">
        <v>251</v>
      </c>
      <c r="H39" s="10" t="s">
        <v>253</v>
      </c>
      <c r="I39" s="10" t="s">
        <v>16</v>
      </c>
      <c r="J39" s="11" t="s">
        <v>29</v>
      </c>
      <c r="K39" s="10" t="s">
        <v>21</v>
      </c>
      <c r="L39" s="10" t="s">
        <v>334</v>
      </c>
      <c r="M39" s="10" t="s">
        <v>16</v>
      </c>
      <c r="N39" s="10" t="s">
        <v>252</v>
      </c>
      <c r="O39" s="12" t="s">
        <v>13</v>
      </c>
      <c r="P39" s="11" t="s">
        <v>13</v>
      </c>
      <c r="Q39" s="11" t="s">
        <v>13</v>
      </c>
      <c r="R39" s="10" t="s">
        <v>13</v>
      </c>
      <c r="S39" s="10" t="s">
        <v>13</v>
      </c>
      <c r="T39" s="10" t="s">
        <v>30</v>
      </c>
      <c r="U39" t="str">
        <f t="shared" si="0"/>
        <v>12459KOMATSU FOREST IND E COM DE MAQUINAS FLO</v>
      </c>
    </row>
    <row r="40" spans="1:21" ht="15" customHeight="1" x14ac:dyDescent="0.25">
      <c r="A40" s="10" t="s">
        <v>20</v>
      </c>
      <c r="B40" s="10" t="s">
        <v>74</v>
      </c>
      <c r="C40" s="11" t="s">
        <v>52</v>
      </c>
      <c r="D40" s="10" t="s">
        <v>36</v>
      </c>
      <c r="E40" s="11" t="s">
        <v>75</v>
      </c>
      <c r="F40" s="12" t="s">
        <v>76</v>
      </c>
      <c r="G40" s="10" t="s">
        <v>174</v>
      </c>
      <c r="H40" s="10" t="s">
        <v>175</v>
      </c>
      <c r="I40" s="10" t="s">
        <v>176</v>
      </c>
      <c r="J40" s="11" t="s">
        <v>55</v>
      </c>
      <c r="K40" s="10" t="s">
        <v>21</v>
      </c>
      <c r="L40" s="19" t="s">
        <v>334</v>
      </c>
      <c r="M40" s="10" t="s">
        <v>176</v>
      </c>
      <c r="N40" s="10" t="s">
        <v>77</v>
      </c>
      <c r="O40" s="12" t="s">
        <v>13</v>
      </c>
      <c r="P40" s="11" t="s">
        <v>17</v>
      </c>
      <c r="Q40" s="11" t="s">
        <v>13</v>
      </c>
      <c r="R40" s="10" t="s">
        <v>13</v>
      </c>
      <c r="S40" s="10" t="s">
        <v>13</v>
      </c>
      <c r="T40" s="10" t="s">
        <v>30</v>
      </c>
      <c r="U40" t="str">
        <f t="shared" si="0"/>
        <v>5093D CAMINHO CAMINHOES LTDA</v>
      </c>
    </row>
    <row r="41" spans="1:21" ht="15" customHeight="1" x14ac:dyDescent="0.25">
      <c r="A41" s="10" t="s">
        <v>20</v>
      </c>
      <c r="B41" s="10" t="s">
        <v>397</v>
      </c>
      <c r="C41" s="11" t="s">
        <v>338</v>
      </c>
      <c r="D41" s="10" t="s">
        <v>153</v>
      </c>
      <c r="E41" s="11" t="s">
        <v>398</v>
      </c>
      <c r="F41" s="12" t="s">
        <v>340</v>
      </c>
      <c r="G41" s="10" t="s">
        <v>399</v>
      </c>
      <c r="H41" s="10" t="s">
        <v>400</v>
      </c>
      <c r="I41" s="10" t="s">
        <v>176</v>
      </c>
      <c r="J41" s="11" t="s">
        <v>342</v>
      </c>
      <c r="K41" s="10" t="s">
        <v>21</v>
      </c>
      <c r="L41" s="10" t="s">
        <v>401</v>
      </c>
      <c r="M41" s="10" t="s">
        <v>176</v>
      </c>
      <c r="N41" s="10" t="s">
        <v>343</v>
      </c>
      <c r="O41" s="12" t="s">
        <v>13</v>
      </c>
      <c r="P41" s="11" t="s">
        <v>13</v>
      </c>
      <c r="Q41" s="11" t="s">
        <v>13</v>
      </c>
      <c r="R41" s="10" t="s">
        <v>13</v>
      </c>
      <c r="S41" s="10" t="s">
        <v>13</v>
      </c>
      <c r="T41" s="10" t="s">
        <v>30</v>
      </c>
      <c r="U41" t="str">
        <f t="shared" si="0"/>
        <v>26741MANOS IMPLEMENTOS RODOVIARIOS</v>
      </c>
    </row>
    <row r="42" spans="1:21" ht="15" customHeight="1" x14ac:dyDescent="0.25">
      <c r="A42" s="10" t="s">
        <v>20</v>
      </c>
      <c r="B42" s="10" t="s">
        <v>402</v>
      </c>
      <c r="C42" s="11" t="s">
        <v>338</v>
      </c>
      <c r="D42" s="10" t="s">
        <v>153</v>
      </c>
      <c r="E42" s="11" t="s">
        <v>403</v>
      </c>
      <c r="F42" s="12" t="s">
        <v>340</v>
      </c>
      <c r="G42" s="10" t="s">
        <v>399</v>
      </c>
      <c r="H42" s="10" t="s">
        <v>400</v>
      </c>
      <c r="I42" s="10" t="s">
        <v>176</v>
      </c>
      <c r="J42" s="11" t="s">
        <v>342</v>
      </c>
      <c r="K42" s="10" t="s">
        <v>21</v>
      </c>
      <c r="L42" s="10" t="s">
        <v>401</v>
      </c>
      <c r="M42" s="10" t="s">
        <v>176</v>
      </c>
      <c r="N42" s="10" t="s">
        <v>343</v>
      </c>
      <c r="O42" s="12" t="s">
        <v>13</v>
      </c>
      <c r="P42" s="11" t="s">
        <v>13</v>
      </c>
      <c r="Q42" s="11" t="s">
        <v>13</v>
      </c>
      <c r="R42" s="10" t="s">
        <v>13</v>
      </c>
      <c r="S42" s="10" t="s">
        <v>13</v>
      </c>
      <c r="T42" s="10" t="s">
        <v>30</v>
      </c>
      <c r="U42" t="str">
        <f t="shared" si="0"/>
        <v>26744MANOS IMPLEMENTOS RODOVIARIOS</v>
      </c>
    </row>
    <row r="43" spans="1:21" ht="15" customHeight="1" x14ac:dyDescent="0.25">
      <c r="A43" s="10" t="s">
        <v>20</v>
      </c>
      <c r="B43" s="10" t="s">
        <v>404</v>
      </c>
      <c r="C43" s="11" t="s">
        <v>338</v>
      </c>
      <c r="D43" s="10" t="s">
        <v>153</v>
      </c>
      <c r="E43" s="11" t="s">
        <v>405</v>
      </c>
      <c r="F43" s="12" t="s">
        <v>340</v>
      </c>
      <c r="G43" s="10" t="s">
        <v>399</v>
      </c>
      <c r="H43" s="10" t="s">
        <v>400</v>
      </c>
      <c r="I43" s="10" t="s">
        <v>176</v>
      </c>
      <c r="J43" s="11" t="s">
        <v>342</v>
      </c>
      <c r="K43" s="10" t="s">
        <v>21</v>
      </c>
      <c r="L43" s="10" t="s">
        <v>401</v>
      </c>
      <c r="M43" s="10" t="s">
        <v>176</v>
      </c>
      <c r="N43" s="10" t="s">
        <v>343</v>
      </c>
      <c r="O43" s="12" t="s">
        <v>13</v>
      </c>
      <c r="P43" s="11" t="s">
        <v>13</v>
      </c>
      <c r="Q43" s="11" t="s">
        <v>13</v>
      </c>
      <c r="R43" s="10" t="s">
        <v>13</v>
      </c>
      <c r="S43" s="10" t="s">
        <v>13</v>
      </c>
      <c r="T43" s="10" t="s">
        <v>30</v>
      </c>
      <c r="U43" t="str">
        <f t="shared" si="0"/>
        <v>26745MANOS IMPLEMENTOS RODOVIARIOS</v>
      </c>
    </row>
    <row r="44" spans="1:21" ht="15" customHeight="1" x14ac:dyDescent="0.25">
      <c r="A44" s="10" t="s">
        <v>20</v>
      </c>
      <c r="B44" s="10" t="s">
        <v>406</v>
      </c>
      <c r="C44" s="11" t="s">
        <v>338</v>
      </c>
      <c r="D44" s="10" t="s">
        <v>153</v>
      </c>
      <c r="E44" s="11" t="s">
        <v>407</v>
      </c>
      <c r="F44" s="12" t="s">
        <v>340</v>
      </c>
      <c r="G44" s="10" t="s">
        <v>399</v>
      </c>
      <c r="H44" s="10" t="s">
        <v>400</v>
      </c>
      <c r="I44" s="10" t="s">
        <v>176</v>
      </c>
      <c r="J44" s="11" t="s">
        <v>342</v>
      </c>
      <c r="K44" s="10" t="s">
        <v>21</v>
      </c>
      <c r="L44" s="10" t="s">
        <v>401</v>
      </c>
      <c r="M44" s="10" t="s">
        <v>176</v>
      </c>
      <c r="N44" s="10" t="s">
        <v>343</v>
      </c>
      <c r="O44" s="12" t="s">
        <v>13</v>
      </c>
      <c r="P44" s="11" t="s">
        <v>13</v>
      </c>
      <c r="Q44" s="11" t="s">
        <v>13</v>
      </c>
      <c r="R44" s="10" t="s">
        <v>13</v>
      </c>
      <c r="S44" s="10" t="s">
        <v>13</v>
      </c>
      <c r="T44" s="10" t="s">
        <v>30</v>
      </c>
      <c r="U44" t="str">
        <f t="shared" si="0"/>
        <v>26748MANOS IMPLEMENTOS RODOVIARIOS</v>
      </c>
    </row>
    <row r="45" spans="1:21" ht="15" customHeight="1" x14ac:dyDescent="0.25">
      <c r="A45" s="10" t="s">
        <v>20</v>
      </c>
      <c r="B45" s="10" t="s">
        <v>408</v>
      </c>
      <c r="C45" s="11" t="s">
        <v>338</v>
      </c>
      <c r="D45" s="10" t="s">
        <v>153</v>
      </c>
      <c r="E45" s="11" t="s">
        <v>409</v>
      </c>
      <c r="F45" s="12" t="s">
        <v>340</v>
      </c>
      <c r="G45" s="10" t="s">
        <v>399</v>
      </c>
      <c r="H45" s="10" t="s">
        <v>400</v>
      </c>
      <c r="I45" s="10" t="s">
        <v>176</v>
      </c>
      <c r="J45" s="11" t="s">
        <v>342</v>
      </c>
      <c r="K45" s="10" t="s">
        <v>21</v>
      </c>
      <c r="L45" s="10" t="s">
        <v>401</v>
      </c>
      <c r="M45" s="10" t="s">
        <v>176</v>
      </c>
      <c r="N45" s="10" t="s">
        <v>343</v>
      </c>
      <c r="O45" s="12" t="s">
        <v>13</v>
      </c>
      <c r="P45" s="11" t="s">
        <v>13</v>
      </c>
      <c r="Q45" s="11" t="s">
        <v>13</v>
      </c>
      <c r="R45" s="10" t="s">
        <v>13</v>
      </c>
      <c r="S45" s="10" t="s">
        <v>13</v>
      </c>
      <c r="T45" s="10" t="s">
        <v>30</v>
      </c>
      <c r="U45" t="str">
        <f t="shared" si="0"/>
        <v>26751MANOS IMPLEMENTOS RODOVIARIOS</v>
      </c>
    </row>
    <row r="46" spans="1:21" ht="15" customHeight="1" x14ac:dyDescent="0.25">
      <c r="A46" s="10" t="s">
        <v>20</v>
      </c>
      <c r="B46" s="10" t="s">
        <v>410</v>
      </c>
      <c r="C46" s="11" t="s">
        <v>338</v>
      </c>
      <c r="D46" s="10" t="s">
        <v>153</v>
      </c>
      <c r="E46" s="11" t="s">
        <v>411</v>
      </c>
      <c r="F46" s="12" t="s">
        <v>352</v>
      </c>
      <c r="G46" s="10" t="s">
        <v>399</v>
      </c>
      <c r="H46" s="10" t="s">
        <v>400</v>
      </c>
      <c r="I46" s="10" t="s">
        <v>176</v>
      </c>
      <c r="J46" s="11" t="s">
        <v>342</v>
      </c>
      <c r="K46" s="10" t="s">
        <v>21</v>
      </c>
      <c r="L46" s="10" t="s">
        <v>401</v>
      </c>
      <c r="M46" s="10" t="s">
        <v>176</v>
      </c>
      <c r="N46" s="10" t="s">
        <v>343</v>
      </c>
      <c r="O46" s="12" t="s">
        <v>13</v>
      </c>
      <c r="P46" s="11" t="s">
        <v>13</v>
      </c>
      <c r="Q46" s="11" t="s">
        <v>13</v>
      </c>
      <c r="R46" s="10" t="s">
        <v>13</v>
      </c>
      <c r="S46" s="10" t="s">
        <v>13</v>
      </c>
      <c r="T46" s="10" t="s">
        <v>30</v>
      </c>
      <c r="U46" t="str">
        <f t="shared" si="0"/>
        <v>26752MANOS IMPLEMENTOS RODOVIARIOS</v>
      </c>
    </row>
    <row r="47" spans="1:21" ht="15" customHeight="1" x14ac:dyDescent="0.25">
      <c r="A47" s="10" t="s">
        <v>20</v>
      </c>
      <c r="B47" s="10" t="s">
        <v>412</v>
      </c>
      <c r="C47" s="11" t="s">
        <v>338</v>
      </c>
      <c r="D47" s="10" t="s">
        <v>153</v>
      </c>
      <c r="E47" s="11" t="s">
        <v>413</v>
      </c>
      <c r="F47" s="12" t="s">
        <v>340</v>
      </c>
      <c r="G47" s="10" t="s">
        <v>399</v>
      </c>
      <c r="H47" s="10" t="s">
        <v>400</v>
      </c>
      <c r="I47" s="10" t="s">
        <v>176</v>
      </c>
      <c r="J47" s="11" t="s">
        <v>342</v>
      </c>
      <c r="K47" s="10" t="s">
        <v>21</v>
      </c>
      <c r="L47" s="10" t="s">
        <v>401</v>
      </c>
      <c r="M47" s="10" t="s">
        <v>176</v>
      </c>
      <c r="N47" s="10" t="s">
        <v>343</v>
      </c>
      <c r="O47" s="12" t="s">
        <v>13</v>
      </c>
      <c r="P47" s="11" t="s">
        <v>13</v>
      </c>
      <c r="Q47" s="11" t="s">
        <v>13</v>
      </c>
      <c r="R47" s="10" t="s">
        <v>13</v>
      </c>
      <c r="S47" s="10" t="s">
        <v>13</v>
      </c>
      <c r="T47" s="10" t="s">
        <v>30</v>
      </c>
      <c r="U47" t="str">
        <f t="shared" si="0"/>
        <v>26750MANOS IMPLEMENTOS RODOVIARIOS</v>
      </c>
    </row>
    <row r="48" spans="1:21" ht="15" customHeight="1" x14ac:dyDescent="0.25">
      <c r="A48" s="10" t="s">
        <v>20</v>
      </c>
      <c r="B48" s="10" t="s">
        <v>414</v>
      </c>
      <c r="C48" s="11" t="s">
        <v>338</v>
      </c>
      <c r="D48" s="10" t="s">
        <v>153</v>
      </c>
      <c r="E48" s="11" t="s">
        <v>415</v>
      </c>
      <c r="F48" s="23">
        <v>145600</v>
      </c>
      <c r="G48" s="10" t="s">
        <v>399</v>
      </c>
      <c r="H48" s="10" t="s">
        <v>400</v>
      </c>
      <c r="I48" s="10" t="s">
        <v>176</v>
      </c>
      <c r="J48" s="11" t="s">
        <v>342</v>
      </c>
      <c r="K48" s="10" t="s">
        <v>21</v>
      </c>
      <c r="L48" s="10" t="s">
        <v>401</v>
      </c>
      <c r="M48" s="10" t="s">
        <v>176</v>
      </c>
      <c r="N48" s="10" t="s">
        <v>343</v>
      </c>
      <c r="O48" s="12" t="s">
        <v>13</v>
      </c>
      <c r="P48" s="11" t="s">
        <v>13</v>
      </c>
      <c r="Q48" s="11" t="s">
        <v>13</v>
      </c>
      <c r="R48" s="10" t="s">
        <v>13</v>
      </c>
      <c r="S48" s="10" t="s">
        <v>13</v>
      </c>
      <c r="T48" s="10" t="s">
        <v>30</v>
      </c>
      <c r="U48" t="str">
        <f t="shared" si="0"/>
        <v>26742MANOS IMPLEMENTOS RODOVIARIOS</v>
      </c>
    </row>
    <row r="49" spans="1:21" ht="15" customHeight="1" x14ac:dyDescent="0.25">
      <c r="A49" s="10" t="s">
        <v>20</v>
      </c>
      <c r="B49" s="10" t="s">
        <v>416</v>
      </c>
      <c r="C49" s="11" t="s">
        <v>338</v>
      </c>
      <c r="D49" s="10" t="s">
        <v>153</v>
      </c>
      <c r="E49" s="11" t="s">
        <v>417</v>
      </c>
      <c r="F49" s="12" t="s">
        <v>340</v>
      </c>
      <c r="G49" s="10" t="s">
        <v>399</v>
      </c>
      <c r="H49" s="10" t="s">
        <v>400</v>
      </c>
      <c r="I49" s="10" t="s">
        <v>176</v>
      </c>
      <c r="J49" s="11" t="s">
        <v>342</v>
      </c>
      <c r="K49" s="10" t="s">
        <v>21</v>
      </c>
      <c r="L49" s="10" t="s">
        <v>401</v>
      </c>
      <c r="M49" s="10" t="s">
        <v>176</v>
      </c>
      <c r="N49" s="10" t="s">
        <v>343</v>
      </c>
      <c r="O49" s="12" t="s">
        <v>13</v>
      </c>
      <c r="P49" s="11" t="s">
        <v>13</v>
      </c>
      <c r="Q49" s="11" t="s">
        <v>13</v>
      </c>
      <c r="R49" s="10" t="s">
        <v>13</v>
      </c>
      <c r="S49" s="10" t="s">
        <v>13</v>
      </c>
      <c r="T49" s="10" t="s">
        <v>30</v>
      </c>
      <c r="U49" t="str">
        <f t="shared" si="0"/>
        <v>26747MANOS IMPLEMENTOS RODOVIARIOS</v>
      </c>
    </row>
    <row r="50" spans="1:21" ht="15" customHeight="1" x14ac:dyDescent="0.25">
      <c r="A50" s="10" t="s">
        <v>20</v>
      </c>
      <c r="B50" s="10" t="s">
        <v>418</v>
      </c>
      <c r="C50" s="11" t="s">
        <v>338</v>
      </c>
      <c r="D50" s="10" t="s">
        <v>153</v>
      </c>
      <c r="E50" s="11" t="s">
        <v>419</v>
      </c>
      <c r="F50" s="12" t="s">
        <v>340</v>
      </c>
      <c r="G50" s="10" t="s">
        <v>399</v>
      </c>
      <c r="H50" s="10" t="s">
        <v>400</v>
      </c>
      <c r="I50" s="10" t="s">
        <v>176</v>
      </c>
      <c r="J50" s="11" t="s">
        <v>342</v>
      </c>
      <c r="K50" s="10" t="s">
        <v>21</v>
      </c>
      <c r="L50" s="10" t="s">
        <v>401</v>
      </c>
      <c r="M50" s="10" t="s">
        <v>176</v>
      </c>
      <c r="N50" s="10" t="s">
        <v>343</v>
      </c>
      <c r="O50" s="12" t="s">
        <v>13</v>
      </c>
      <c r="P50" s="11" t="s">
        <v>13</v>
      </c>
      <c r="Q50" s="11" t="s">
        <v>13</v>
      </c>
      <c r="R50" s="10" t="s">
        <v>13</v>
      </c>
      <c r="S50" s="10" t="s">
        <v>13</v>
      </c>
      <c r="T50" s="10" t="s">
        <v>30</v>
      </c>
      <c r="U50" t="str">
        <f t="shared" si="0"/>
        <v>26746MANOS IMPLEMENTOS RODOVIARIOS</v>
      </c>
    </row>
    <row r="51" spans="1:21" ht="15" customHeight="1" x14ac:dyDescent="0.25">
      <c r="A51" s="10" t="s">
        <v>20</v>
      </c>
      <c r="B51" s="10" t="s">
        <v>420</v>
      </c>
      <c r="C51" s="11" t="s">
        <v>338</v>
      </c>
      <c r="D51" s="10" t="s">
        <v>153</v>
      </c>
      <c r="E51" s="11" t="s">
        <v>421</v>
      </c>
      <c r="F51" s="12" t="s">
        <v>340</v>
      </c>
      <c r="G51" s="10" t="s">
        <v>399</v>
      </c>
      <c r="H51" s="10" t="s">
        <v>400</v>
      </c>
      <c r="I51" s="10" t="s">
        <v>176</v>
      </c>
      <c r="J51" s="11" t="s">
        <v>342</v>
      </c>
      <c r="K51" s="10" t="s">
        <v>21</v>
      </c>
      <c r="L51" s="10" t="s">
        <v>401</v>
      </c>
      <c r="M51" s="10" t="s">
        <v>176</v>
      </c>
      <c r="N51" s="10" t="s">
        <v>343</v>
      </c>
      <c r="O51" s="12" t="s">
        <v>13</v>
      </c>
      <c r="P51" s="11" t="s">
        <v>13</v>
      </c>
      <c r="Q51" s="11" t="s">
        <v>13</v>
      </c>
      <c r="R51" s="10" t="s">
        <v>13</v>
      </c>
      <c r="S51" s="10" t="s">
        <v>13</v>
      </c>
      <c r="T51" s="10" t="s">
        <v>30</v>
      </c>
      <c r="U51" t="str">
        <f t="shared" si="0"/>
        <v>26743MANOS IMPLEMENTOS RODOVIARIOS</v>
      </c>
    </row>
    <row r="52" spans="1:21" ht="15" customHeight="1" x14ac:dyDescent="0.25">
      <c r="A52" s="10" t="s">
        <v>20</v>
      </c>
      <c r="B52" s="10" t="s">
        <v>422</v>
      </c>
      <c r="C52" s="11" t="s">
        <v>338</v>
      </c>
      <c r="D52" s="10" t="s">
        <v>153</v>
      </c>
      <c r="E52" s="11" t="s">
        <v>423</v>
      </c>
      <c r="F52" s="12" t="s">
        <v>340</v>
      </c>
      <c r="G52" s="10" t="s">
        <v>399</v>
      </c>
      <c r="H52" s="10" t="s">
        <v>400</v>
      </c>
      <c r="I52" s="10" t="s">
        <v>176</v>
      </c>
      <c r="J52" s="11" t="s">
        <v>342</v>
      </c>
      <c r="K52" s="10" t="s">
        <v>21</v>
      </c>
      <c r="L52" s="10" t="s">
        <v>401</v>
      </c>
      <c r="M52" s="10" t="s">
        <v>176</v>
      </c>
      <c r="N52" s="10" t="s">
        <v>343</v>
      </c>
      <c r="O52" s="12" t="s">
        <v>13</v>
      </c>
      <c r="P52" s="11" t="s">
        <v>13</v>
      </c>
      <c r="Q52" s="11" t="s">
        <v>13</v>
      </c>
      <c r="R52" s="10" t="s">
        <v>13</v>
      </c>
      <c r="S52" s="10" t="s">
        <v>13</v>
      </c>
      <c r="T52" s="10" t="s">
        <v>30</v>
      </c>
      <c r="U52" t="str">
        <f t="shared" si="0"/>
        <v>26749MANOS IMPLEMENTOS RODOVIARIOS</v>
      </c>
    </row>
    <row r="53" spans="1:21" ht="15" customHeight="1" x14ac:dyDescent="0.25">
      <c r="A53" s="13" t="s">
        <v>20</v>
      </c>
      <c r="B53" s="13" t="s">
        <v>424</v>
      </c>
      <c r="C53" s="14" t="s">
        <v>147</v>
      </c>
      <c r="D53" s="13" t="s">
        <v>425</v>
      </c>
      <c r="E53" s="14" t="s">
        <v>426</v>
      </c>
      <c r="F53" s="15" t="s">
        <v>427</v>
      </c>
      <c r="G53" s="13" t="s">
        <v>13</v>
      </c>
      <c r="H53" s="13" t="s">
        <v>13</v>
      </c>
      <c r="I53" s="13" t="s">
        <v>428</v>
      </c>
      <c r="J53" s="14" t="s">
        <v>429</v>
      </c>
      <c r="K53" s="13" t="s">
        <v>21</v>
      </c>
      <c r="L53" s="13" t="s">
        <v>396</v>
      </c>
      <c r="M53" s="13" t="s">
        <v>428</v>
      </c>
      <c r="N53" s="13" t="s">
        <v>13</v>
      </c>
      <c r="O53" s="15" t="s">
        <v>13</v>
      </c>
      <c r="P53" s="14" t="s">
        <v>13</v>
      </c>
      <c r="Q53" s="14" t="s">
        <v>13</v>
      </c>
      <c r="R53" s="13" t="s">
        <v>13</v>
      </c>
      <c r="S53" s="13" t="s">
        <v>13</v>
      </c>
      <c r="T53" s="13" t="s">
        <v>279</v>
      </c>
      <c r="U53" t="str">
        <f t="shared" si="0"/>
        <v>12344SKALLA AUTO PECAS LTDA  EPP</v>
      </c>
    </row>
    <row r="54" spans="1:21" ht="15" customHeight="1" x14ac:dyDescent="0.25">
      <c r="A54" s="13" t="s">
        <v>20</v>
      </c>
      <c r="B54" s="13" t="s">
        <v>430</v>
      </c>
      <c r="C54" s="14" t="s">
        <v>147</v>
      </c>
      <c r="D54" s="13" t="s">
        <v>425</v>
      </c>
      <c r="E54" s="14" t="s">
        <v>431</v>
      </c>
      <c r="F54" s="15" t="s">
        <v>432</v>
      </c>
      <c r="G54" s="13" t="s">
        <v>13</v>
      </c>
      <c r="H54" s="13" t="s">
        <v>13</v>
      </c>
      <c r="I54" s="13" t="s">
        <v>428</v>
      </c>
      <c r="J54" s="14" t="s">
        <v>429</v>
      </c>
      <c r="K54" s="13" t="s">
        <v>21</v>
      </c>
      <c r="L54" s="13" t="s">
        <v>396</v>
      </c>
      <c r="M54" s="13" t="s">
        <v>428</v>
      </c>
      <c r="N54" s="13" t="s">
        <v>13</v>
      </c>
      <c r="O54" s="15" t="s">
        <v>13</v>
      </c>
      <c r="P54" s="14" t="s">
        <v>13</v>
      </c>
      <c r="Q54" s="14" t="s">
        <v>13</v>
      </c>
      <c r="R54" s="13" t="s">
        <v>13</v>
      </c>
      <c r="S54" s="13" t="s">
        <v>13</v>
      </c>
      <c r="T54" s="13" t="s">
        <v>279</v>
      </c>
      <c r="U54" t="str">
        <f t="shared" si="0"/>
        <v>12345SKALLA AUTO PECAS LTDA  EPP</v>
      </c>
    </row>
    <row r="55" spans="1:21" ht="15" customHeight="1" x14ac:dyDescent="0.25">
      <c r="A55" s="13" t="s">
        <v>20</v>
      </c>
      <c r="B55" s="13" t="s">
        <v>285</v>
      </c>
      <c r="C55" s="14" t="s">
        <v>275</v>
      </c>
      <c r="D55" s="13" t="s">
        <v>220</v>
      </c>
      <c r="E55" s="14" t="s">
        <v>286</v>
      </c>
      <c r="F55" s="15" t="s">
        <v>277</v>
      </c>
      <c r="G55" s="13" t="s">
        <v>13</v>
      </c>
      <c r="H55" s="13" t="s">
        <v>13</v>
      </c>
      <c r="I55" s="13" t="s">
        <v>24</v>
      </c>
      <c r="J55" s="14" t="s">
        <v>287</v>
      </c>
      <c r="K55" s="13" t="s">
        <v>21</v>
      </c>
      <c r="L55" s="13" t="s">
        <v>334</v>
      </c>
      <c r="M55" s="13" t="s">
        <v>24</v>
      </c>
      <c r="N55" s="13" t="s">
        <v>13</v>
      </c>
      <c r="O55" s="15" t="s">
        <v>13</v>
      </c>
      <c r="P55" s="14" t="s">
        <v>17</v>
      </c>
      <c r="Q55" s="14" t="s">
        <v>13</v>
      </c>
      <c r="R55" s="13" t="s">
        <v>13</v>
      </c>
      <c r="S55" s="13" t="s">
        <v>13</v>
      </c>
      <c r="T55" s="13" t="s">
        <v>30</v>
      </c>
      <c r="U55" t="str">
        <f t="shared" si="0"/>
        <v>43621BAMAQ SA BANDEIRANTES MAQUINAS EQUIPAMENTOS</v>
      </c>
    </row>
    <row r="56" spans="1:21" ht="15" customHeight="1" x14ac:dyDescent="0.25">
      <c r="A56" s="13" t="s">
        <v>20</v>
      </c>
      <c r="B56" s="13" t="s">
        <v>177</v>
      </c>
      <c r="C56" s="14" t="s">
        <v>178</v>
      </c>
      <c r="D56" s="13" t="s">
        <v>70</v>
      </c>
      <c r="E56" s="14" t="s">
        <v>179</v>
      </c>
      <c r="F56" s="15" t="s">
        <v>180</v>
      </c>
      <c r="G56" s="13" t="s">
        <v>13</v>
      </c>
      <c r="H56" s="13" t="s">
        <v>13</v>
      </c>
      <c r="I56" s="13" t="s">
        <v>16</v>
      </c>
      <c r="J56" s="14" t="s">
        <v>181</v>
      </c>
      <c r="K56" s="13" t="s">
        <v>21</v>
      </c>
      <c r="L56" s="19" t="s">
        <v>433</v>
      </c>
      <c r="M56" s="13" t="s">
        <v>16</v>
      </c>
      <c r="N56" s="13" t="s">
        <v>13</v>
      </c>
      <c r="O56" s="15" t="s">
        <v>13</v>
      </c>
      <c r="P56" s="14" t="s">
        <v>17</v>
      </c>
      <c r="Q56" s="14" t="s">
        <v>13</v>
      </c>
      <c r="R56" s="13" t="s">
        <v>13</v>
      </c>
      <c r="S56" s="13" t="s">
        <v>13</v>
      </c>
      <c r="T56" s="13" t="s">
        <v>30</v>
      </c>
      <c r="U56" t="str">
        <f t="shared" si="0"/>
        <v>1231SUPREMA FONTES LTDA</v>
      </c>
    </row>
    <row r="57" spans="1:21" ht="15" customHeight="1" x14ac:dyDescent="0.25">
      <c r="A57" s="13" t="s">
        <v>20</v>
      </c>
      <c r="B57" s="13" t="s">
        <v>434</v>
      </c>
      <c r="C57" s="14" t="s">
        <v>52</v>
      </c>
      <c r="D57" s="13" t="s">
        <v>435</v>
      </c>
      <c r="E57" s="14" t="s">
        <v>436</v>
      </c>
      <c r="F57" s="15" t="s">
        <v>437</v>
      </c>
      <c r="G57" s="13" t="s">
        <v>13</v>
      </c>
      <c r="H57" s="13" t="s">
        <v>13</v>
      </c>
      <c r="I57" s="13" t="s">
        <v>16</v>
      </c>
      <c r="J57" s="14" t="s">
        <v>438</v>
      </c>
      <c r="K57" s="13" t="s">
        <v>21</v>
      </c>
      <c r="L57" s="13" t="s">
        <v>334</v>
      </c>
      <c r="M57" s="13" t="s">
        <v>16</v>
      </c>
      <c r="N57" s="13" t="s">
        <v>13</v>
      </c>
      <c r="O57" s="15" t="s">
        <v>13</v>
      </c>
      <c r="P57" s="14" t="s">
        <v>17</v>
      </c>
      <c r="Q57" s="14" t="s">
        <v>13</v>
      </c>
      <c r="R57" s="13" t="s">
        <v>13</v>
      </c>
      <c r="S57" s="13" t="s">
        <v>13</v>
      </c>
      <c r="T57" s="13" t="s">
        <v>279</v>
      </c>
      <c r="U57" t="str">
        <f t="shared" si="0"/>
        <v>4485D CAMINHO CAMINHOES LTDA</v>
      </c>
    </row>
    <row r="58" spans="1:21" ht="15" customHeight="1" x14ac:dyDescent="0.25">
      <c r="A58" s="13" t="s">
        <v>20</v>
      </c>
      <c r="B58" s="13" t="s">
        <v>182</v>
      </c>
      <c r="C58" s="14" t="s">
        <v>183</v>
      </c>
      <c r="D58" s="13" t="s">
        <v>123</v>
      </c>
      <c r="E58" s="14" t="s">
        <v>184</v>
      </c>
      <c r="F58" s="15" t="s">
        <v>185</v>
      </c>
      <c r="G58" s="13" t="s">
        <v>13</v>
      </c>
      <c r="H58" s="13" t="s">
        <v>13</v>
      </c>
      <c r="I58" s="13" t="s">
        <v>16</v>
      </c>
      <c r="J58" s="14" t="s">
        <v>186</v>
      </c>
      <c r="K58" s="13" t="s">
        <v>21</v>
      </c>
      <c r="L58" s="19" t="s">
        <v>336</v>
      </c>
      <c r="M58" s="13" t="s">
        <v>16</v>
      </c>
      <c r="N58" s="13" t="s">
        <v>13</v>
      </c>
      <c r="O58" s="15" t="s">
        <v>13</v>
      </c>
      <c r="P58" s="14" t="s">
        <v>187</v>
      </c>
      <c r="Q58" s="14" t="s">
        <v>13</v>
      </c>
      <c r="R58" s="13" t="s">
        <v>13</v>
      </c>
      <c r="S58" s="13" t="s">
        <v>13</v>
      </c>
      <c r="T58" s="13" t="s">
        <v>30</v>
      </c>
      <c r="U58" t="str">
        <f t="shared" si="0"/>
        <v>7230TK SHOP COMERCIO ELETRONICO LTDA</v>
      </c>
    </row>
    <row r="59" spans="1:21" ht="15" customHeight="1" x14ac:dyDescent="0.25">
      <c r="A59" s="13" t="s">
        <v>20</v>
      </c>
      <c r="B59" s="13" t="s">
        <v>274</v>
      </c>
      <c r="C59" s="14" t="s">
        <v>275</v>
      </c>
      <c r="D59" s="13" t="s">
        <v>220</v>
      </c>
      <c r="E59" s="14" t="s">
        <v>276</v>
      </c>
      <c r="F59" s="15" t="s">
        <v>277</v>
      </c>
      <c r="G59" s="13" t="s">
        <v>13</v>
      </c>
      <c r="H59" s="13" t="s">
        <v>13</v>
      </c>
      <c r="I59" s="13" t="s">
        <v>24</v>
      </c>
      <c r="J59" s="14" t="s">
        <v>278</v>
      </c>
      <c r="K59" s="13" t="s">
        <v>21</v>
      </c>
      <c r="L59" s="13" t="s">
        <v>439</v>
      </c>
      <c r="M59" s="13" t="s">
        <v>24</v>
      </c>
      <c r="N59" s="13" t="s">
        <v>13</v>
      </c>
      <c r="O59" s="15" t="s">
        <v>13</v>
      </c>
      <c r="P59" s="14" t="s">
        <v>17</v>
      </c>
      <c r="Q59" s="14" t="s">
        <v>13</v>
      </c>
      <c r="R59" s="13" t="s">
        <v>13</v>
      </c>
      <c r="S59" s="13" t="s">
        <v>13</v>
      </c>
      <c r="T59" s="13" t="s">
        <v>279</v>
      </c>
      <c r="U59" t="str">
        <f t="shared" si="0"/>
        <v>43622BAMAQ SA BANDEIRANTES MAQUINAS EQUIPAMENTOS</v>
      </c>
    </row>
    <row r="60" spans="1:21" ht="15" customHeight="1" x14ac:dyDescent="0.25">
      <c r="A60" s="13" t="s">
        <v>20</v>
      </c>
      <c r="B60" s="13" t="s">
        <v>51</v>
      </c>
      <c r="C60" s="14" t="s">
        <v>52</v>
      </c>
      <c r="D60" s="13" t="s">
        <v>188</v>
      </c>
      <c r="E60" s="14" t="s">
        <v>53</v>
      </c>
      <c r="F60" s="15" t="s">
        <v>54</v>
      </c>
      <c r="G60" s="13" t="s">
        <v>13</v>
      </c>
      <c r="H60" s="13" t="s">
        <v>13</v>
      </c>
      <c r="I60" s="13" t="s">
        <v>16</v>
      </c>
      <c r="J60" s="14" t="s">
        <v>55</v>
      </c>
      <c r="K60" s="13" t="s">
        <v>21</v>
      </c>
      <c r="L60" s="19" t="s">
        <v>336</v>
      </c>
      <c r="M60" s="13" t="s">
        <v>16</v>
      </c>
      <c r="N60" s="13" t="s">
        <v>13</v>
      </c>
      <c r="O60" s="15" t="s">
        <v>13</v>
      </c>
      <c r="P60" s="14" t="s">
        <v>17</v>
      </c>
      <c r="Q60" s="14" t="s">
        <v>13</v>
      </c>
      <c r="R60" s="13" t="s">
        <v>13</v>
      </c>
      <c r="S60" s="13" t="s">
        <v>13</v>
      </c>
      <c r="T60" s="13" t="s">
        <v>30</v>
      </c>
      <c r="U60" t="str">
        <f t="shared" si="0"/>
        <v>5126D CAMINHO CAMINHOES LTDA</v>
      </c>
    </row>
    <row r="61" spans="1:21" ht="15" customHeight="1" x14ac:dyDescent="0.25">
      <c r="A61" s="13" t="s">
        <v>20</v>
      </c>
      <c r="B61" s="13" t="s">
        <v>189</v>
      </c>
      <c r="C61" s="14" t="s">
        <v>190</v>
      </c>
      <c r="D61" s="13" t="s">
        <v>89</v>
      </c>
      <c r="E61" s="14" t="s">
        <v>191</v>
      </c>
      <c r="F61" s="15" t="s">
        <v>192</v>
      </c>
      <c r="G61" s="13" t="s">
        <v>13</v>
      </c>
      <c r="H61" s="13" t="s">
        <v>13</v>
      </c>
      <c r="I61" s="13" t="s">
        <v>24</v>
      </c>
      <c r="J61" s="14" t="s">
        <v>193</v>
      </c>
      <c r="K61" s="13" t="s">
        <v>21</v>
      </c>
      <c r="L61" s="19" t="s">
        <v>336</v>
      </c>
      <c r="M61" s="13" t="s">
        <v>24</v>
      </c>
      <c r="N61" s="13" t="s">
        <v>13</v>
      </c>
      <c r="O61" s="15" t="s">
        <v>13</v>
      </c>
      <c r="P61" s="14" t="s">
        <v>17</v>
      </c>
      <c r="Q61" s="14" t="s">
        <v>13</v>
      </c>
      <c r="R61" s="13" t="s">
        <v>13</v>
      </c>
      <c r="S61" s="13" t="s">
        <v>13</v>
      </c>
      <c r="T61" s="13" t="s">
        <v>30</v>
      </c>
      <c r="U61" t="str">
        <f t="shared" si="0"/>
        <v>4030WN PECAS DIESEL LTDA</v>
      </c>
    </row>
    <row r="62" spans="1:21" ht="15" customHeight="1" x14ac:dyDescent="0.25">
      <c r="A62" s="13" t="s">
        <v>20</v>
      </c>
      <c r="B62" s="13" t="s">
        <v>440</v>
      </c>
      <c r="C62" s="14" t="s">
        <v>441</v>
      </c>
      <c r="D62" s="13" t="s">
        <v>442</v>
      </c>
      <c r="E62" s="14" t="s">
        <v>443</v>
      </c>
      <c r="F62" s="15" t="s">
        <v>444</v>
      </c>
      <c r="G62" s="13" t="s">
        <v>13</v>
      </c>
      <c r="H62" s="13" t="s">
        <v>13</v>
      </c>
      <c r="I62" s="13" t="s">
        <v>16</v>
      </c>
      <c r="J62" s="14" t="s">
        <v>445</v>
      </c>
      <c r="K62" s="13" t="s">
        <v>21</v>
      </c>
      <c r="L62" s="13" t="s">
        <v>439</v>
      </c>
      <c r="M62" s="13" t="s">
        <v>16</v>
      </c>
      <c r="N62" s="13" t="s">
        <v>13</v>
      </c>
      <c r="O62" s="15" t="s">
        <v>13</v>
      </c>
      <c r="P62" s="14" t="s">
        <v>13</v>
      </c>
      <c r="Q62" s="14" t="s">
        <v>13</v>
      </c>
      <c r="R62" s="13" t="s">
        <v>13</v>
      </c>
      <c r="S62" s="13" t="s">
        <v>13</v>
      </c>
      <c r="T62" s="13" t="s">
        <v>30</v>
      </c>
      <c r="U62" t="str">
        <f t="shared" si="0"/>
        <v>85005CWA INDUSTRIA DE EUCALIPTO IMUNIZADO LTD</v>
      </c>
    </row>
    <row r="63" spans="1:21" ht="15" customHeight="1" x14ac:dyDescent="0.25">
      <c r="A63" s="13" t="s">
        <v>20</v>
      </c>
      <c r="B63" s="13" t="s">
        <v>194</v>
      </c>
      <c r="C63" s="14" t="s">
        <v>120</v>
      </c>
      <c r="D63" s="13" t="s">
        <v>157</v>
      </c>
      <c r="E63" s="14" t="s">
        <v>195</v>
      </c>
      <c r="F63" s="15" t="s">
        <v>196</v>
      </c>
      <c r="G63" s="13" t="s">
        <v>13</v>
      </c>
      <c r="H63" s="13" t="s">
        <v>13</v>
      </c>
      <c r="I63" s="13" t="s">
        <v>16</v>
      </c>
      <c r="J63" s="14" t="s">
        <v>55</v>
      </c>
      <c r="K63" s="13" t="s">
        <v>21</v>
      </c>
      <c r="L63" s="19" t="s">
        <v>336</v>
      </c>
      <c r="M63" s="13" t="s">
        <v>16</v>
      </c>
      <c r="N63" s="13" t="s">
        <v>13</v>
      </c>
      <c r="O63" s="15" t="s">
        <v>13</v>
      </c>
      <c r="P63" s="14" t="s">
        <v>14</v>
      </c>
      <c r="Q63" s="14" t="s">
        <v>13</v>
      </c>
      <c r="R63" s="13" t="s">
        <v>13</v>
      </c>
      <c r="S63" s="13" t="s">
        <v>13</v>
      </c>
      <c r="T63" s="13" t="s">
        <v>30</v>
      </c>
      <c r="U63" t="str">
        <f t="shared" si="0"/>
        <v>98416MINAUTO MINAS AUTOMOVEIS LTDA</v>
      </c>
    </row>
    <row r="64" spans="1:21" ht="15" customHeight="1" x14ac:dyDescent="0.25">
      <c r="A64" s="13" t="s">
        <v>20</v>
      </c>
      <c r="B64" s="13" t="s">
        <v>446</v>
      </c>
      <c r="C64" s="14" t="s">
        <v>447</v>
      </c>
      <c r="D64" s="13" t="s">
        <v>448</v>
      </c>
      <c r="E64" s="14" t="s">
        <v>449</v>
      </c>
      <c r="F64" s="15" t="s">
        <v>450</v>
      </c>
      <c r="G64" s="13" t="s">
        <v>13</v>
      </c>
      <c r="H64" s="13" t="s">
        <v>13</v>
      </c>
      <c r="I64" s="13" t="s">
        <v>26</v>
      </c>
      <c r="J64" s="14" t="s">
        <v>451</v>
      </c>
      <c r="K64" s="13" t="s">
        <v>21</v>
      </c>
      <c r="L64" s="13" t="s">
        <v>396</v>
      </c>
      <c r="M64" s="13" t="s">
        <v>26</v>
      </c>
      <c r="N64" s="13" t="s">
        <v>13</v>
      </c>
      <c r="O64" s="15" t="s">
        <v>13</v>
      </c>
      <c r="P64" s="14" t="s">
        <v>13</v>
      </c>
      <c r="Q64" s="14" t="s">
        <v>13</v>
      </c>
      <c r="R64" s="13" t="s">
        <v>13</v>
      </c>
      <c r="S64" s="13" t="s">
        <v>13</v>
      </c>
      <c r="T64" s="13" t="s">
        <v>279</v>
      </c>
      <c r="U64" t="str">
        <f t="shared" si="0"/>
        <v>1793MATERIAIS DE CONSTRUCAO NOVO LAR S &amp; S</v>
      </c>
    </row>
    <row r="65" spans="1:21" ht="15" customHeight="1" x14ac:dyDescent="0.25">
      <c r="A65" s="13" t="s">
        <v>20</v>
      </c>
      <c r="B65" s="13" t="s">
        <v>452</v>
      </c>
      <c r="C65" s="14" t="s">
        <v>453</v>
      </c>
      <c r="D65" s="13" t="s">
        <v>454</v>
      </c>
      <c r="E65" s="14" t="s">
        <v>455</v>
      </c>
      <c r="F65" s="15" t="s">
        <v>456</v>
      </c>
      <c r="G65" s="13" t="s">
        <v>13</v>
      </c>
      <c r="H65" s="13" t="s">
        <v>13</v>
      </c>
      <c r="I65" s="13" t="s">
        <v>26</v>
      </c>
      <c r="J65" s="14" t="s">
        <v>457</v>
      </c>
      <c r="K65" s="13" t="s">
        <v>21</v>
      </c>
      <c r="L65" s="13" t="s">
        <v>396</v>
      </c>
      <c r="M65" s="13" t="s">
        <v>26</v>
      </c>
      <c r="N65" s="13" t="s">
        <v>13</v>
      </c>
      <c r="O65" s="15" t="s">
        <v>13</v>
      </c>
      <c r="P65" s="14" t="s">
        <v>13</v>
      </c>
      <c r="Q65" s="14" t="s">
        <v>13</v>
      </c>
      <c r="R65" s="13" t="s">
        <v>13</v>
      </c>
      <c r="S65" s="13" t="s">
        <v>13</v>
      </c>
      <c r="T65" s="13" t="s">
        <v>279</v>
      </c>
      <c r="U65" t="str">
        <f t="shared" si="0"/>
        <v>1749QUALITY GLOBAL PECAS E SERVICOS LTDA</v>
      </c>
    </row>
    <row r="66" spans="1:21" ht="15" customHeight="1" x14ac:dyDescent="0.25">
      <c r="A66" s="13" t="s">
        <v>20</v>
      </c>
      <c r="B66" s="13" t="s">
        <v>292</v>
      </c>
      <c r="C66" s="14" t="s">
        <v>293</v>
      </c>
      <c r="D66" s="13" t="s">
        <v>294</v>
      </c>
      <c r="E66" s="14" t="s">
        <v>295</v>
      </c>
      <c r="F66" s="15" t="s">
        <v>296</v>
      </c>
      <c r="G66" s="13" t="s">
        <v>13</v>
      </c>
      <c r="H66" s="13" t="s">
        <v>13</v>
      </c>
      <c r="I66" s="13" t="s">
        <v>16</v>
      </c>
      <c r="J66" s="14" t="s">
        <v>297</v>
      </c>
      <c r="K66" s="13" t="s">
        <v>21</v>
      </c>
      <c r="L66" s="13" t="s">
        <v>334</v>
      </c>
      <c r="M66" s="13" t="s">
        <v>16</v>
      </c>
      <c r="N66" s="13" t="s">
        <v>13</v>
      </c>
      <c r="O66" s="15" t="s">
        <v>13</v>
      </c>
      <c r="P66" s="14" t="s">
        <v>13</v>
      </c>
      <c r="Q66" s="14" t="s">
        <v>13</v>
      </c>
      <c r="R66" s="13" t="s">
        <v>13</v>
      </c>
      <c r="S66" s="13" t="s">
        <v>13</v>
      </c>
      <c r="T66" s="13" t="s">
        <v>30</v>
      </c>
      <c r="U66" t="str">
        <f t="shared" si="0"/>
        <v>36616TECNOSUL COMPANY LTDA</v>
      </c>
    </row>
    <row r="67" spans="1:21" ht="15" customHeight="1" x14ac:dyDescent="0.25">
      <c r="A67" s="13" t="s">
        <v>20</v>
      </c>
      <c r="B67" s="13" t="s">
        <v>458</v>
      </c>
      <c r="C67" s="14" t="s">
        <v>441</v>
      </c>
      <c r="D67" s="13" t="s">
        <v>459</v>
      </c>
      <c r="E67" s="14" t="s">
        <v>460</v>
      </c>
      <c r="F67" s="15" t="s">
        <v>461</v>
      </c>
      <c r="G67" s="13" t="s">
        <v>13</v>
      </c>
      <c r="H67" s="13" t="s">
        <v>13</v>
      </c>
      <c r="I67" s="13" t="s">
        <v>16</v>
      </c>
      <c r="J67" s="14" t="s">
        <v>445</v>
      </c>
      <c r="K67" s="13" t="s">
        <v>21</v>
      </c>
      <c r="L67" s="13" t="s">
        <v>439</v>
      </c>
      <c r="M67" s="13" t="s">
        <v>16</v>
      </c>
      <c r="N67" s="13" t="s">
        <v>13</v>
      </c>
      <c r="O67" s="15" t="s">
        <v>13</v>
      </c>
      <c r="P67" s="14" t="s">
        <v>13</v>
      </c>
      <c r="Q67" s="14" t="s">
        <v>13</v>
      </c>
      <c r="R67" s="13" t="s">
        <v>13</v>
      </c>
      <c r="S67" s="13" t="s">
        <v>13</v>
      </c>
      <c r="T67" s="13" t="s">
        <v>30</v>
      </c>
      <c r="U67" t="str">
        <f t="shared" ref="U67:U130" si="1">CONCATENATE(B67,C67)</f>
        <v>84903CWA INDUSTRIA DE EUCALIPTO IMUNIZADO LTD</v>
      </c>
    </row>
    <row r="68" spans="1:21" ht="15" customHeight="1" x14ac:dyDescent="0.25">
      <c r="A68" s="13" t="s">
        <v>20</v>
      </c>
      <c r="B68" s="13" t="s">
        <v>197</v>
      </c>
      <c r="C68" s="14" t="s">
        <v>198</v>
      </c>
      <c r="D68" s="13" t="s">
        <v>154</v>
      </c>
      <c r="E68" s="14" t="s">
        <v>199</v>
      </c>
      <c r="F68" s="15" t="s">
        <v>200</v>
      </c>
      <c r="G68" s="13" t="s">
        <v>13</v>
      </c>
      <c r="H68" s="13" t="s">
        <v>13</v>
      </c>
      <c r="I68" s="13" t="s">
        <v>16</v>
      </c>
      <c r="J68" s="14" t="s">
        <v>55</v>
      </c>
      <c r="K68" s="13" t="s">
        <v>21</v>
      </c>
      <c r="L68" s="19" t="s">
        <v>336</v>
      </c>
      <c r="M68" s="13" t="s">
        <v>16</v>
      </c>
      <c r="N68" s="13" t="s">
        <v>13</v>
      </c>
      <c r="O68" s="15" t="s">
        <v>13</v>
      </c>
      <c r="P68" s="14" t="s">
        <v>17</v>
      </c>
      <c r="Q68" s="14" t="s">
        <v>13</v>
      </c>
      <c r="R68" s="13" t="s">
        <v>13</v>
      </c>
      <c r="S68" s="13" t="s">
        <v>13</v>
      </c>
      <c r="T68" s="13" t="s">
        <v>30</v>
      </c>
      <c r="U68" t="str">
        <f t="shared" si="1"/>
        <v>338543PAVEPE PARA DE MINAS VEICULOS E PECAS LTDA</v>
      </c>
    </row>
    <row r="69" spans="1:21" ht="15" customHeight="1" x14ac:dyDescent="0.25">
      <c r="A69" s="13" t="s">
        <v>20</v>
      </c>
      <c r="B69" s="13" t="s">
        <v>462</v>
      </c>
      <c r="C69" s="14" t="s">
        <v>147</v>
      </c>
      <c r="D69" s="13" t="s">
        <v>425</v>
      </c>
      <c r="E69" s="14" t="s">
        <v>463</v>
      </c>
      <c r="F69" s="15" t="s">
        <v>464</v>
      </c>
      <c r="G69" s="13" t="s">
        <v>13</v>
      </c>
      <c r="H69" s="13" t="s">
        <v>13</v>
      </c>
      <c r="I69" s="13" t="s">
        <v>428</v>
      </c>
      <c r="J69" s="14" t="s">
        <v>429</v>
      </c>
      <c r="K69" s="13" t="s">
        <v>21</v>
      </c>
      <c r="L69" s="13" t="s">
        <v>396</v>
      </c>
      <c r="M69" s="13" t="s">
        <v>428</v>
      </c>
      <c r="N69" s="13" t="s">
        <v>13</v>
      </c>
      <c r="O69" s="15" t="s">
        <v>13</v>
      </c>
      <c r="P69" s="14" t="s">
        <v>13</v>
      </c>
      <c r="Q69" s="14" t="s">
        <v>13</v>
      </c>
      <c r="R69" s="13" t="s">
        <v>13</v>
      </c>
      <c r="S69" s="13" t="s">
        <v>13</v>
      </c>
      <c r="T69" s="13" t="s">
        <v>279</v>
      </c>
      <c r="U69" t="str">
        <f t="shared" si="1"/>
        <v>12343SKALLA AUTO PECAS LTDA  EPP</v>
      </c>
    </row>
    <row r="70" spans="1:21" ht="15" customHeight="1" x14ac:dyDescent="0.25">
      <c r="A70" s="13" t="s">
        <v>20</v>
      </c>
      <c r="B70" s="13" t="s">
        <v>201</v>
      </c>
      <c r="C70" s="14" t="s">
        <v>202</v>
      </c>
      <c r="D70" s="13" t="s">
        <v>123</v>
      </c>
      <c r="E70" s="14" t="s">
        <v>203</v>
      </c>
      <c r="F70" s="15" t="s">
        <v>204</v>
      </c>
      <c r="G70" s="13" t="s">
        <v>13</v>
      </c>
      <c r="H70" s="13" t="s">
        <v>13</v>
      </c>
      <c r="I70" s="13" t="s">
        <v>16</v>
      </c>
      <c r="J70" s="14" t="s">
        <v>205</v>
      </c>
      <c r="K70" s="13" t="s">
        <v>21</v>
      </c>
      <c r="L70" s="19" t="s">
        <v>388</v>
      </c>
      <c r="M70" s="13" t="s">
        <v>16</v>
      </c>
      <c r="N70" s="13" t="s">
        <v>206</v>
      </c>
      <c r="O70" s="15" t="s">
        <v>13</v>
      </c>
      <c r="P70" s="14" t="s">
        <v>17</v>
      </c>
      <c r="Q70" s="14" t="s">
        <v>13</v>
      </c>
      <c r="R70" s="13" t="s">
        <v>13</v>
      </c>
      <c r="S70" s="13" t="s">
        <v>13</v>
      </c>
      <c r="T70" s="13" t="s">
        <v>30</v>
      </c>
      <c r="U70" t="str">
        <f t="shared" si="1"/>
        <v>123172VIA TRUCKS COMERCIO DE CAMINHOES LTDA</v>
      </c>
    </row>
    <row r="71" spans="1:21" ht="15" customHeight="1" x14ac:dyDescent="0.25">
      <c r="A71" s="13" t="s">
        <v>20</v>
      </c>
      <c r="B71" s="13" t="s">
        <v>465</v>
      </c>
      <c r="C71" s="14" t="s">
        <v>441</v>
      </c>
      <c r="D71" s="13" t="s">
        <v>459</v>
      </c>
      <c r="E71" s="14" t="s">
        <v>466</v>
      </c>
      <c r="F71" s="15" t="s">
        <v>467</v>
      </c>
      <c r="G71" s="13" t="s">
        <v>13</v>
      </c>
      <c r="H71" s="13" t="s">
        <v>13</v>
      </c>
      <c r="I71" s="13" t="s">
        <v>16</v>
      </c>
      <c r="J71" s="14" t="s">
        <v>445</v>
      </c>
      <c r="K71" s="13" t="s">
        <v>21</v>
      </c>
      <c r="L71" s="13" t="s">
        <v>439</v>
      </c>
      <c r="M71" s="13" t="s">
        <v>16</v>
      </c>
      <c r="N71" s="13" t="s">
        <v>13</v>
      </c>
      <c r="O71" s="15" t="s">
        <v>13</v>
      </c>
      <c r="P71" s="14" t="s">
        <v>13</v>
      </c>
      <c r="Q71" s="14" t="s">
        <v>13</v>
      </c>
      <c r="R71" s="13" t="s">
        <v>13</v>
      </c>
      <c r="S71" s="13" t="s">
        <v>13</v>
      </c>
      <c r="T71" s="13" t="s">
        <v>30</v>
      </c>
      <c r="U71" t="str">
        <f t="shared" si="1"/>
        <v>84907CWA INDUSTRIA DE EUCALIPTO IMUNIZADO LTD</v>
      </c>
    </row>
    <row r="72" spans="1:21" ht="15" customHeight="1" x14ac:dyDescent="0.25">
      <c r="A72" s="13" t="s">
        <v>20</v>
      </c>
      <c r="B72" s="13" t="s">
        <v>468</v>
      </c>
      <c r="C72" s="14" t="s">
        <v>338</v>
      </c>
      <c r="D72" s="13" t="s">
        <v>153</v>
      </c>
      <c r="E72" s="14" t="s">
        <v>469</v>
      </c>
      <c r="F72" s="15" t="s">
        <v>340</v>
      </c>
      <c r="G72" s="13" t="s">
        <v>13</v>
      </c>
      <c r="H72" s="13" t="s">
        <v>13</v>
      </c>
      <c r="I72" s="13" t="s">
        <v>16</v>
      </c>
      <c r="J72" s="14" t="s">
        <v>457</v>
      </c>
      <c r="K72" s="13" t="s">
        <v>21</v>
      </c>
      <c r="L72" s="10" t="s">
        <v>396</v>
      </c>
      <c r="M72" s="13" t="s">
        <v>16</v>
      </c>
      <c r="N72" s="13" t="s">
        <v>13</v>
      </c>
      <c r="O72" s="15" t="s">
        <v>13</v>
      </c>
      <c r="P72" s="14" t="s">
        <v>13</v>
      </c>
      <c r="Q72" s="14" t="s">
        <v>13</v>
      </c>
      <c r="R72" s="13" t="s">
        <v>13</v>
      </c>
      <c r="S72" s="13" t="s">
        <v>13</v>
      </c>
      <c r="T72" s="13" t="s">
        <v>279</v>
      </c>
      <c r="U72" t="str">
        <f t="shared" si="1"/>
        <v>26730MANOS IMPLEMENTOS RODOVIARIOS</v>
      </c>
    </row>
    <row r="73" spans="1:21" ht="15" customHeight="1" x14ac:dyDescent="0.25">
      <c r="A73" s="13" t="s">
        <v>20</v>
      </c>
      <c r="B73" s="13" t="s">
        <v>470</v>
      </c>
      <c r="C73" s="14" t="s">
        <v>338</v>
      </c>
      <c r="D73" s="13" t="s">
        <v>153</v>
      </c>
      <c r="E73" s="14" t="s">
        <v>471</v>
      </c>
      <c r="F73" s="15" t="s">
        <v>340</v>
      </c>
      <c r="G73" s="13" t="s">
        <v>13</v>
      </c>
      <c r="H73" s="13" t="s">
        <v>13</v>
      </c>
      <c r="I73" s="13" t="s">
        <v>16</v>
      </c>
      <c r="J73" s="14" t="s">
        <v>457</v>
      </c>
      <c r="K73" s="13" t="s">
        <v>21</v>
      </c>
      <c r="L73" s="10" t="s">
        <v>396</v>
      </c>
      <c r="M73" s="13" t="s">
        <v>16</v>
      </c>
      <c r="N73" s="13" t="s">
        <v>13</v>
      </c>
      <c r="O73" s="15" t="s">
        <v>13</v>
      </c>
      <c r="P73" s="14" t="s">
        <v>13</v>
      </c>
      <c r="Q73" s="14" t="s">
        <v>13</v>
      </c>
      <c r="R73" s="13" t="s">
        <v>13</v>
      </c>
      <c r="S73" s="13" t="s">
        <v>13</v>
      </c>
      <c r="T73" s="13" t="s">
        <v>279</v>
      </c>
      <c r="U73" t="str">
        <f t="shared" si="1"/>
        <v>26731MANOS IMPLEMENTOS RODOVIARIOS</v>
      </c>
    </row>
    <row r="74" spans="1:21" ht="15" customHeight="1" x14ac:dyDescent="0.25">
      <c r="A74" s="13" t="s">
        <v>20</v>
      </c>
      <c r="B74" s="13" t="s">
        <v>207</v>
      </c>
      <c r="C74" s="14" t="s">
        <v>208</v>
      </c>
      <c r="D74" s="13" t="s">
        <v>154</v>
      </c>
      <c r="E74" s="14" t="s">
        <v>209</v>
      </c>
      <c r="F74" s="15" t="s">
        <v>210</v>
      </c>
      <c r="G74" s="13" t="s">
        <v>13</v>
      </c>
      <c r="H74" s="13" t="s">
        <v>13</v>
      </c>
      <c r="I74" s="13" t="s">
        <v>24</v>
      </c>
      <c r="J74" s="14" t="s">
        <v>211</v>
      </c>
      <c r="K74" s="13" t="s">
        <v>21</v>
      </c>
      <c r="L74" s="19" t="s">
        <v>336</v>
      </c>
      <c r="M74" s="13" t="s">
        <v>24</v>
      </c>
      <c r="N74" s="13" t="s">
        <v>212</v>
      </c>
      <c r="O74" s="15" t="s">
        <v>13</v>
      </c>
      <c r="P74" s="14" t="s">
        <v>17</v>
      </c>
      <c r="Q74" s="14" t="s">
        <v>13</v>
      </c>
      <c r="R74" s="13" t="s">
        <v>13</v>
      </c>
      <c r="S74" s="13" t="s">
        <v>13</v>
      </c>
      <c r="T74" s="13" t="s">
        <v>30</v>
      </c>
      <c r="U74" t="str">
        <f t="shared" si="1"/>
        <v>1995673Mineração Belocal Ltda</v>
      </c>
    </row>
    <row r="75" spans="1:21" ht="15" customHeight="1" x14ac:dyDescent="0.25">
      <c r="A75" s="13" t="s">
        <v>20</v>
      </c>
      <c r="B75" s="13" t="s">
        <v>326</v>
      </c>
      <c r="C75" s="14" t="s">
        <v>321</v>
      </c>
      <c r="D75" s="13" t="s">
        <v>327</v>
      </c>
      <c r="E75" s="14" t="s">
        <v>328</v>
      </c>
      <c r="F75" s="15" t="s">
        <v>329</v>
      </c>
      <c r="G75" s="13" t="s">
        <v>13</v>
      </c>
      <c r="H75" s="13" t="s">
        <v>13</v>
      </c>
      <c r="I75" s="13" t="s">
        <v>24</v>
      </c>
      <c r="J75" s="14" t="s">
        <v>325</v>
      </c>
      <c r="K75" s="13" t="s">
        <v>21</v>
      </c>
      <c r="L75" s="13" t="s">
        <v>334</v>
      </c>
      <c r="M75" s="13" t="s">
        <v>24</v>
      </c>
      <c r="N75" s="13" t="s">
        <v>13</v>
      </c>
      <c r="O75" s="15" t="s">
        <v>13</v>
      </c>
      <c r="P75" s="14" t="s">
        <v>17</v>
      </c>
      <c r="Q75" s="14" t="s">
        <v>13</v>
      </c>
      <c r="R75" s="13" t="s">
        <v>13</v>
      </c>
      <c r="S75" s="13" t="s">
        <v>13</v>
      </c>
      <c r="T75" s="13" t="s">
        <v>30</v>
      </c>
      <c r="U75" t="str">
        <f t="shared" si="1"/>
        <v>61132ADUBOS REAL S.A.</v>
      </c>
    </row>
    <row r="76" spans="1:21" ht="15" customHeight="1" x14ac:dyDescent="0.25">
      <c r="A76" s="13" t="s">
        <v>20</v>
      </c>
      <c r="B76" s="13" t="s">
        <v>472</v>
      </c>
      <c r="C76" s="14" t="s">
        <v>309</v>
      </c>
      <c r="D76" s="13" t="s">
        <v>473</v>
      </c>
      <c r="E76" s="14" t="s">
        <v>474</v>
      </c>
      <c r="F76" s="15" t="s">
        <v>312</v>
      </c>
      <c r="G76" s="13" t="s">
        <v>13</v>
      </c>
      <c r="H76" s="13" t="s">
        <v>13</v>
      </c>
      <c r="I76" s="13" t="s">
        <v>26</v>
      </c>
      <c r="J76" s="14" t="s">
        <v>475</v>
      </c>
      <c r="K76" s="13" t="s">
        <v>21</v>
      </c>
      <c r="L76" s="10" t="s">
        <v>396</v>
      </c>
      <c r="M76" s="13" t="s">
        <v>26</v>
      </c>
      <c r="N76" s="13" t="s">
        <v>13</v>
      </c>
      <c r="O76" s="15" t="s">
        <v>13</v>
      </c>
      <c r="P76" s="14" t="s">
        <v>13</v>
      </c>
      <c r="Q76" s="14" t="s">
        <v>13</v>
      </c>
      <c r="R76" s="13" t="s">
        <v>13</v>
      </c>
      <c r="S76" s="13" t="s">
        <v>13</v>
      </c>
      <c r="T76" s="13" t="s">
        <v>279</v>
      </c>
      <c r="U76" t="str">
        <f t="shared" si="1"/>
        <v>3221TRITUCAP EQUIPAMENTOS AGRICOLAS LTDA</v>
      </c>
    </row>
    <row r="77" spans="1:21" ht="15" customHeight="1" x14ac:dyDescent="0.25">
      <c r="A77" s="13" t="s">
        <v>20</v>
      </c>
      <c r="B77" s="13" t="s">
        <v>476</v>
      </c>
      <c r="C77" s="14" t="s">
        <v>441</v>
      </c>
      <c r="D77" s="13" t="s">
        <v>442</v>
      </c>
      <c r="E77" s="14" t="s">
        <v>477</v>
      </c>
      <c r="F77" s="15" t="s">
        <v>478</v>
      </c>
      <c r="G77" s="13" t="s">
        <v>13</v>
      </c>
      <c r="H77" s="13" t="s">
        <v>13</v>
      </c>
      <c r="I77" s="13" t="s">
        <v>16</v>
      </c>
      <c r="J77" s="14" t="s">
        <v>445</v>
      </c>
      <c r="K77" s="13" t="s">
        <v>21</v>
      </c>
      <c r="L77" s="13" t="s">
        <v>439</v>
      </c>
      <c r="M77" s="13" t="s">
        <v>16</v>
      </c>
      <c r="N77" s="13" t="s">
        <v>13</v>
      </c>
      <c r="O77" s="15" t="s">
        <v>13</v>
      </c>
      <c r="P77" s="14" t="s">
        <v>13</v>
      </c>
      <c r="Q77" s="14" t="s">
        <v>13</v>
      </c>
      <c r="R77" s="13" t="s">
        <v>13</v>
      </c>
      <c r="S77" s="13" t="s">
        <v>13</v>
      </c>
      <c r="T77" s="13" t="s">
        <v>30</v>
      </c>
      <c r="U77" t="str">
        <f t="shared" si="1"/>
        <v>85006CWA INDUSTRIA DE EUCALIPTO IMUNIZADO LTD</v>
      </c>
    </row>
    <row r="78" spans="1:21" ht="15" customHeight="1" x14ac:dyDescent="0.25">
      <c r="A78" s="13" t="s">
        <v>20</v>
      </c>
      <c r="B78" s="13" t="s">
        <v>479</v>
      </c>
      <c r="C78" s="14" t="s">
        <v>441</v>
      </c>
      <c r="D78" s="13" t="s">
        <v>442</v>
      </c>
      <c r="E78" s="14" t="s">
        <v>480</v>
      </c>
      <c r="F78" s="15" t="s">
        <v>481</v>
      </c>
      <c r="G78" s="13" t="s">
        <v>13</v>
      </c>
      <c r="H78" s="13" t="s">
        <v>13</v>
      </c>
      <c r="I78" s="13" t="s">
        <v>16</v>
      </c>
      <c r="J78" s="14" t="s">
        <v>445</v>
      </c>
      <c r="K78" s="13" t="s">
        <v>21</v>
      </c>
      <c r="L78" s="13" t="s">
        <v>439</v>
      </c>
      <c r="M78" s="13" t="s">
        <v>16</v>
      </c>
      <c r="N78" s="13" t="s">
        <v>13</v>
      </c>
      <c r="O78" s="15" t="s">
        <v>13</v>
      </c>
      <c r="P78" s="14" t="s">
        <v>13</v>
      </c>
      <c r="Q78" s="14" t="s">
        <v>13</v>
      </c>
      <c r="R78" s="13" t="s">
        <v>13</v>
      </c>
      <c r="S78" s="13" t="s">
        <v>13</v>
      </c>
      <c r="T78" s="13" t="s">
        <v>30</v>
      </c>
      <c r="U78" t="str">
        <f t="shared" si="1"/>
        <v>85004CWA INDUSTRIA DE EUCALIPTO IMUNIZADO LTD</v>
      </c>
    </row>
    <row r="79" spans="1:21" ht="15" customHeight="1" x14ac:dyDescent="0.25">
      <c r="A79" s="13" t="s">
        <v>20</v>
      </c>
      <c r="B79" s="13" t="s">
        <v>482</v>
      </c>
      <c r="C79" s="14" t="s">
        <v>147</v>
      </c>
      <c r="D79" s="13" t="s">
        <v>454</v>
      </c>
      <c r="E79" s="14" t="s">
        <v>483</v>
      </c>
      <c r="F79" s="15" t="s">
        <v>484</v>
      </c>
      <c r="G79" s="13" t="s">
        <v>13</v>
      </c>
      <c r="H79" s="13" t="s">
        <v>13</v>
      </c>
      <c r="I79" s="13" t="s">
        <v>428</v>
      </c>
      <c r="J79" s="14" t="s">
        <v>429</v>
      </c>
      <c r="K79" s="13" t="s">
        <v>21</v>
      </c>
      <c r="L79" s="13" t="s">
        <v>396</v>
      </c>
      <c r="M79" s="13" t="s">
        <v>428</v>
      </c>
      <c r="N79" s="13" t="s">
        <v>13</v>
      </c>
      <c r="O79" s="15" t="s">
        <v>13</v>
      </c>
      <c r="P79" s="14" t="s">
        <v>13</v>
      </c>
      <c r="Q79" s="14" t="s">
        <v>13</v>
      </c>
      <c r="R79" s="13" t="s">
        <v>13</v>
      </c>
      <c r="S79" s="13" t="s">
        <v>13</v>
      </c>
      <c r="T79" s="13" t="s">
        <v>279</v>
      </c>
      <c r="U79" t="str">
        <f t="shared" si="1"/>
        <v>12350SKALLA AUTO PECAS LTDA  EPP</v>
      </c>
    </row>
    <row r="80" spans="1:21" ht="15" customHeight="1" x14ac:dyDescent="0.25">
      <c r="A80" s="13" t="s">
        <v>20</v>
      </c>
      <c r="B80" s="13" t="s">
        <v>485</v>
      </c>
      <c r="C80" s="14" t="s">
        <v>441</v>
      </c>
      <c r="D80" s="13" t="s">
        <v>442</v>
      </c>
      <c r="E80" s="14" t="s">
        <v>486</v>
      </c>
      <c r="F80" s="15" t="s">
        <v>487</v>
      </c>
      <c r="G80" s="13" t="s">
        <v>13</v>
      </c>
      <c r="H80" s="13" t="s">
        <v>13</v>
      </c>
      <c r="I80" s="13" t="s">
        <v>16</v>
      </c>
      <c r="J80" s="14" t="s">
        <v>445</v>
      </c>
      <c r="K80" s="13" t="s">
        <v>21</v>
      </c>
      <c r="L80" s="13" t="s">
        <v>439</v>
      </c>
      <c r="M80" s="13" t="s">
        <v>16</v>
      </c>
      <c r="N80" s="13" t="s">
        <v>13</v>
      </c>
      <c r="O80" s="15" t="s">
        <v>13</v>
      </c>
      <c r="P80" s="14" t="s">
        <v>13</v>
      </c>
      <c r="Q80" s="14" t="s">
        <v>13</v>
      </c>
      <c r="R80" s="13" t="s">
        <v>13</v>
      </c>
      <c r="S80" s="13" t="s">
        <v>13</v>
      </c>
      <c r="T80" s="13" t="s">
        <v>30</v>
      </c>
      <c r="U80" t="str">
        <f t="shared" si="1"/>
        <v>85007CWA INDUSTRIA DE EUCALIPTO IMUNIZADO LTD</v>
      </c>
    </row>
    <row r="81" spans="1:21" ht="15" customHeight="1" x14ac:dyDescent="0.25">
      <c r="A81" s="13" t="s">
        <v>20</v>
      </c>
      <c r="B81" s="13" t="s">
        <v>488</v>
      </c>
      <c r="C81" s="14" t="s">
        <v>441</v>
      </c>
      <c r="D81" s="13" t="s">
        <v>489</v>
      </c>
      <c r="E81" s="14" t="s">
        <v>490</v>
      </c>
      <c r="F81" s="15" t="s">
        <v>491</v>
      </c>
      <c r="G81" s="13" t="s">
        <v>13</v>
      </c>
      <c r="H81" s="13" t="s">
        <v>13</v>
      </c>
      <c r="I81" s="13" t="s">
        <v>16</v>
      </c>
      <c r="J81" s="14" t="s">
        <v>445</v>
      </c>
      <c r="K81" s="13" t="s">
        <v>21</v>
      </c>
      <c r="L81" s="13" t="s">
        <v>439</v>
      </c>
      <c r="M81" s="13" t="s">
        <v>16</v>
      </c>
      <c r="N81" s="13" t="s">
        <v>13</v>
      </c>
      <c r="O81" s="15" t="s">
        <v>13</v>
      </c>
      <c r="P81" s="14" t="s">
        <v>13</v>
      </c>
      <c r="Q81" s="14" t="s">
        <v>13</v>
      </c>
      <c r="R81" s="13" t="s">
        <v>13</v>
      </c>
      <c r="S81" s="13" t="s">
        <v>13</v>
      </c>
      <c r="T81" s="13" t="s">
        <v>30</v>
      </c>
      <c r="U81" t="str">
        <f t="shared" si="1"/>
        <v>84954CWA INDUSTRIA DE EUCALIPTO IMUNIZADO LTD</v>
      </c>
    </row>
    <row r="82" spans="1:21" ht="15" customHeight="1" x14ac:dyDescent="0.25">
      <c r="A82" s="13" t="s">
        <v>20</v>
      </c>
      <c r="B82" s="13" t="s">
        <v>492</v>
      </c>
      <c r="C82" s="14" t="s">
        <v>22</v>
      </c>
      <c r="D82" s="13" t="s">
        <v>294</v>
      </c>
      <c r="E82" s="14" t="s">
        <v>493</v>
      </c>
      <c r="F82" s="15" t="s">
        <v>250</v>
      </c>
      <c r="G82" s="13" t="s">
        <v>13</v>
      </c>
      <c r="H82" s="13" t="s">
        <v>13</v>
      </c>
      <c r="I82" s="13" t="s">
        <v>16</v>
      </c>
      <c r="J82" s="14" t="s">
        <v>494</v>
      </c>
      <c r="K82" s="13" t="s">
        <v>21</v>
      </c>
      <c r="L82" s="13" t="s">
        <v>396</v>
      </c>
      <c r="M82" s="13" t="s">
        <v>16</v>
      </c>
      <c r="N82" s="13" t="s">
        <v>13</v>
      </c>
      <c r="O82" s="15" t="s">
        <v>13</v>
      </c>
      <c r="P82" s="14" t="s">
        <v>17</v>
      </c>
      <c r="Q82" s="14" t="s">
        <v>13</v>
      </c>
      <c r="R82" s="13" t="s">
        <v>13</v>
      </c>
      <c r="S82" s="13" t="s">
        <v>13</v>
      </c>
      <c r="T82" s="13" t="s">
        <v>279</v>
      </c>
      <c r="U82" t="str">
        <f t="shared" si="1"/>
        <v>12519KOMATSU FOREST IND E COM DE MAQUINAS FLO</v>
      </c>
    </row>
    <row r="83" spans="1:21" ht="15" customHeight="1" x14ac:dyDescent="0.25">
      <c r="A83" s="13" t="s">
        <v>20</v>
      </c>
      <c r="B83" s="13" t="s">
        <v>213</v>
      </c>
      <c r="C83" s="14" t="s">
        <v>214</v>
      </c>
      <c r="D83" s="13" t="s">
        <v>154</v>
      </c>
      <c r="E83" s="14" t="s">
        <v>215</v>
      </c>
      <c r="F83" s="15" t="s">
        <v>216</v>
      </c>
      <c r="G83" s="13" t="s">
        <v>13</v>
      </c>
      <c r="H83" s="13" t="s">
        <v>13</v>
      </c>
      <c r="I83" s="13" t="s">
        <v>16</v>
      </c>
      <c r="J83" s="14" t="s">
        <v>217</v>
      </c>
      <c r="K83" s="13" t="s">
        <v>21</v>
      </c>
      <c r="L83" s="19" t="s">
        <v>336</v>
      </c>
      <c r="M83" s="13" t="s">
        <v>16</v>
      </c>
      <c r="N83" s="13" t="s">
        <v>13</v>
      </c>
      <c r="O83" s="15" t="s">
        <v>13</v>
      </c>
      <c r="P83" s="14" t="s">
        <v>17</v>
      </c>
      <c r="Q83" s="14" t="s">
        <v>13</v>
      </c>
      <c r="R83" s="13" t="s">
        <v>13</v>
      </c>
      <c r="S83" s="13" t="s">
        <v>13</v>
      </c>
      <c r="T83" s="13" t="s">
        <v>30</v>
      </c>
      <c r="U83" t="str">
        <f t="shared" si="1"/>
        <v>7784HOOK DO BRASIL SISTEMAS DE PESAGEM IND COM IMP EXP</v>
      </c>
    </row>
    <row r="84" spans="1:21" ht="15" customHeight="1" x14ac:dyDescent="0.25">
      <c r="A84" s="13" t="s">
        <v>20</v>
      </c>
      <c r="B84" s="13" t="s">
        <v>495</v>
      </c>
      <c r="C84" s="14" t="s">
        <v>441</v>
      </c>
      <c r="D84" s="13" t="s">
        <v>489</v>
      </c>
      <c r="E84" s="14" t="s">
        <v>496</v>
      </c>
      <c r="F84" s="15" t="s">
        <v>497</v>
      </c>
      <c r="G84" s="13" t="s">
        <v>13</v>
      </c>
      <c r="H84" s="13" t="s">
        <v>13</v>
      </c>
      <c r="I84" s="13" t="s">
        <v>16</v>
      </c>
      <c r="J84" s="14" t="s">
        <v>445</v>
      </c>
      <c r="K84" s="13" t="s">
        <v>21</v>
      </c>
      <c r="L84" s="13" t="s">
        <v>439</v>
      </c>
      <c r="M84" s="13" t="s">
        <v>16</v>
      </c>
      <c r="N84" s="13" t="s">
        <v>13</v>
      </c>
      <c r="O84" s="15" t="s">
        <v>13</v>
      </c>
      <c r="P84" s="14" t="s">
        <v>13</v>
      </c>
      <c r="Q84" s="14" t="s">
        <v>13</v>
      </c>
      <c r="R84" s="13" t="s">
        <v>13</v>
      </c>
      <c r="S84" s="13" t="s">
        <v>13</v>
      </c>
      <c r="T84" s="13" t="s">
        <v>30</v>
      </c>
      <c r="U84" t="str">
        <f t="shared" si="1"/>
        <v>84963CWA INDUSTRIA DE EUCALIPTO IMUNIZADO LTD</v>
      </c>
    </row>
    <row r="85" spans="1:21" ht="15" customHeight="1" x14ac:dyDescent="0.25">
      <c r="A85" s="13" t="s">
        <v>20</v>
      </c>
      <c r="B85" s="13" t="s">
        <v>498</v>
      </c>
      <c r="C85" s="14" t="s">
        <v>441</v>
      </c>
      <c r="D85" s="13" t="s">
        <v>454</v>
      </c>
      <c r="E85" s="14" t="s">
        <v>499</v>
      </c>
      <c r="F85" s="15" t="s">
        <v>500</v>
      </c>
      <c r="G85" s="13" t="s">
        <v>13</v>
      </c>
      <c r="H85" s="13" t="s">
        <v>13</v>
      </c>
      <c r="I85" s="13" t="s">
        <v>16</v>
      </c>
      <c r="J85" s="14" t="s">
        <v>445</v>
      </c>
      <c r="K85" s="13" t="s">
        <v>21</v>
      </c>
      <c r="L85" s="13" t="s">
        <v>439</v>
      </c>
      <c r="M85" s="13" t="s">
        <v>16</v>
      </c>
      <c r="N85" s="13" t="s">
        <v>13</v>
      </c>
      <c r="O85" s="15" t="s">
        <v>13</v>
      </c>
      <c r="P85" s="14" t="s">
        <v>13</v>
      </c>
      <c r="Q85" s="14" t="s">
        <v>13</v>
      </c>
      <c r="R85" s="13" t="s">
        <v>13</v>
      </c>
      <c r="S85" s="13" t="s">
        <v>13</v>
      </c>
      <c r="T85" s="13" t="s">
        <v>30</v>
      </c>
      <c r="U85" t="str">
        <f t="shared" si="1"/>
        <v>84876CWA INDUSTRIA DE EUCALIPTO IMUNIZADO LTD</v>
      </c>
    </row>
    <row r="86" spans="1:21" ht="15" customHeight="1" x14ac:dyDescent="0.25">
      <c r="A86" s="13" t="s">
        <v>20</v>
      </c>
      <c r="B86" s="13" t="s">
        <v>501</v>
      </c>
      <c r="C86" s="14" t="s">
        <v>441</v>
      </c>
      <c r="D86" s="13" t="s">
        <v>489</v>
      </c>
      <c r="E86" s="14" t="s">
        <v>502</v>
      </c>
      <c r="F86" s="15" t="s">
        <v>503</v>
      </c>
      <c r="G86" s="13" t="s">
        <v>13</v>
      </c>
      <c r="H86" s="13" t="s">
        <v>13</v>
      </c>
      <c r="I86" s="13" t="s">
        <v>16</v>
      </c>
      <c r="J86" s="14" t="s">
        <v>445</v>
      </c>
      <c r="K86" s="13" t="s">
        <v>21</v>
      </c>
      <c r="L86" s="13" t="s">
        <v>439</v>
      </c>
      <c r="M86" s="13" t="s">
        <v>16</v>
      </c>
      <c r="N86" s="13" t="s">
        <v>13</v>
      </c>
      <c r="O86" s="15" t="s">
        <v>13</v>
      </c>
      <c r="P86" s="14" t="s">
        <v>13</v>
      </c>
      <c r="Q86" s="14" t="s">
        <v>13</v>
      </c>
      <c r="R86" s="13" t="s">
        <v>13</v>
      </c>
      <c r="S86" s="13" t="s">
        <v>13</v>
      </c>
      <c r="T86" s="13" t="s">
        <v>30</v>
      </c>
      <c r="U86" t="str">
        <f t="shared" si="1"/>
        <v>84970CWA INDUSTRIA DE EUCALIPTO IMUNIZADO LTD</v>
      </c>
    </row>
    <row r="87" spans="1:21" ht="15" customHeight="1" x14ac:dyDescent="0.25">
      <c r="A87" s="13" t="s">
        <v>20</v>
      </c>
      <c r="B87" s="13" t="s">
        <v>504</v>
      </c>
      <c r="C87" s="14" t="s">
        <v>441</v>
      </c>
      <c r="D87" s="13" t="s">
        <v>239</v>
      </c>
      <c r="E87" s="14" t="s">
        <v>505</v>
      </c>
      <c r="F87" s="15" t="s">
        <v>506</v>
      </c>
      <c r="G87" s="13" t="s">
        <v>13</v>
      </c>
      <c r="H87" s="13" t="s">
        <v>13</v>
      </c>
      <c r="I87" s="13" t="s">
        <v>16</v>
      </c>
      <c r="J87" s="14" t="s">
        <v>445</v>
      </c>
      <c r="K87" s="13" t="s">
        <v>21</v>
      </c>
      <c r="L87" s="13" t="s">
        <v>439</v>
      </c>
      <c r="M87" s="13" t="s">
        <v>16</v>
      </c>
      <c r="N87" s="13" t="s">
        <v>13</v>
      </c>
      <c r="O87" s="15" t="s">
        <v>13</v>
      </c>
      <c r="P87" s="14" t="s">
        <v>13</v>
      </c>
      <c r="Q87" s="14" t="s">
        <v>13</v>
      </c>
      <c r="R87" s="13" t="s">
        <v>13</v>
      </c>
      <c r="S87" s="13" t="s">
        <v>13</v>
      </c>
      <c r="T87" s="13" t="s">
        <v>30</v>
      </c>
      <c r="U87" t="str">
        <f t="shared" si="1"/>
        <v>85414CWA INDUSTRIA DE EUCALIPTO IMUNIZADO LTD</v>
      </c>
    </row>
    <row r="88" spans="1:21" ht="15" customHeight="1" x14ac:dyDescent="0.25">
      <c r="A88" s="13" t="s">
        <v>20</v>
      </c>
      <c r="B88" s="13" t="s">
        <v>507</v>
      </c>
      <c r="C88" s="14" t="s">
        <v>441</v>
      </c>
      <c r="D88" s="13" t="s">
        <v>489</v>
      </c>
      <c r="E88" s="14" t="s">
        <v>508</v>
      </c>
      <c r="F88" s="15" t="s">
        <v>509</v>
      </c>
      <c r="G88" s="13" t="s">
        <v>13</v>
      </c>
      <c r="H88" s="13" t="s">
        <v>13</v>
      </c>
      <c r="I88" s="13" t="s">
        <v>16</v>
      </c>
      <c r="J88" s="14" t="s">
        <v>445</v>
      </c>
      <c r="K88" s="13" t="s">
        <v>21</v>
      </c>
      <c r="L88" s="13" t="s">
        <v>439</v>
      </c>
      <c r="M88" s="13" t="s">
        <v>16</v>
      </c>
      <c r="N88" s="13" t="s">
        <v>13</v>
      </c>
      <c r="O88" s="15" t="s">
        <v>13</v>
      </c>
      <c r="P88" s="14" t="s">
        <v>13</v>
      </c>
      <c r="Q88" s="14" t="s">
        <v>13</v>
      </c>
      <c r="R88" s="13" t="s">
        <v>13</v>
      </c>
      <c r="S88" s="13" t="s">
        <v>13</v>
      </c>
      <c r="T88" s="13" t="s">
        <v>30</v>
      </c>
      <c r="U88" t="str">
        <f t="shared" si="1"/>
        <v>84953CWA INDUSTRIA DE EUCALIPTO IMUNIZADO LTD</v>
      </c>
    </row>
    <row r="89" spans="1:21" ht="15" customHeight="1" x14ac:dyDescent="0.25">
      <c r="A89" s="13" t="s">
        <v>20</v>
      </c>
      <c r="B89" s="13" t="s">
        <v>510</v>
      </c>
      <c r="C89" s="14" t="s">
        <v>441</v>
      </c>
      <c r="D89" s="13" t="s">
        <v>489</v>
      </c>
      <c r="E89" s="14" t="s">
        <v>511</v>
      </c>
      <c r="F89" s="15" t="s">
        <v>512</v>
      </c>
      <c r="G89" s="13" t="s">
        <v>13</v>
      </c>
      <c r="H89" s="13" t="s">
        <v>13</v>
      </c>
      <c r="I89" s="13" t="s">
        <v>16</v>
      </c>
      <c r="J89" s="14" t="s">
        <v>445</v>
      </c>
      <c r="K89" s="13" t="s">
        <v>21</v>
      </c>
      <c r="L89" s="13" t="s">
        <v>439</v>
      </c>
      <c r="M89" s="13" t="s">
        <v>16</v>
      </c>
      <c r="N89" s="13" t="s">
        <v>13</v>
      </c>
      <c r="O89" s="15" t="s">
        <v>13</v>
      </c>
      <c r="P89" s="14" t="s">
        <v>13</v>
      </c>
      <c r="Q89" s="14" t="s">
        <v>13</v>
      </c>
      <c r="R89" s="13" t="s">
        <v>13</v>
      </c>
      <c r="S89" s="13" t="s">
        <v>13</v>
      </c>
      <c r="T89" s="13" t="s">
        <v>30</v>
      </c>
      <c r="U89" t="str">
        <f t="shared" si="1"/>
        <v>84956CWA INDUSTRIA DE EUCALIPTO IMUNIZADO LTD</v>
      </c>
    </row>
    <row r="90" spans="1:21" ht="15" customHeight="1" x14ac:dyDescent="0.25">
      <c r="A90" s="13" t="s">
        <v>20</v>
      </c>
      <c r="B90" s="13" t="s">
        <v>513</v>
      </c>
      <c r="C90" s="14" t="s">
        <v>441</v>
      </c>
      <c r="D90" s="13" t="s">
        <v>459</v>
      </c>
      <c r="E90" s="14" t="s">
        <v>514</v>
      </c>
      <c r="F90" s="15" t="s">
        <v>515</v>
      </c>
      <c r="G90" s="13" t="s">
        <v>13</v>
      </c>
      <c r="H90" s="13" t="s">
        <v>13</v>
      </c>
      <c r="I90" s="13" t="s">
        <v>16</v>
      </c>
      <c r="J90" s="14" t="s">
        <v>445</v>
      </c>
      <c r="K90" s="13" t="s">
        <v>21</v>
      </c>
      <c r="L90" s="13" t="s">
        <v>439</v>
      </c>
      <c r="M90" s="13" t="s">
        <v>16</v>
      </c>
      <c r="N90" s="13" t="s">
        <v>13</v>
      </c>
      <c r="O90" s="15" t="s">
        <v>13</v>
      </c>
      <c r="P90" s="14" t="s">
        <v>13</v>
      </c>
      <c r="Q90" s="14" t="s">
        <v>13</v>
      </c>
      <c r="R90" s="13" t="s">
        <v>13</v>
      </c>
      <c r="S90" s="13" t="s">
        <v>13</v>
      </c>
      <c r="T90" s="13" t="s">
        <v>30</v>
      </c>
      <c r="U90" t="str">
        <f t="shared" si="1"/>
        <v>84906CWA INDUSTRIA DE EUCALIPTO IMUNIZADO LTD</v>
      </c>
    </row>
    <row r="91" spans="1:21" ht="15" customHeight="1" x14ac:dyDescent="0.25">
      <c r="A91" s="13" t="s">
        <v>20</v>
      </c>
      <c r="B91" s="13" t="s">
        <v>516</v>
      </c>
      <c r="C91" s="14" t="s">
        <v>441</v>
      </c>
      <c r="D91" s="13" t="s">
        <v>248</v>
      </c>
      <c r="E91" s="14" t="s">
        <v>517</v>
      </c>
      <c r="F91" s="15" t="s">
        <v>518</v>
      </c>
      <c r="G91" s="13" t="s">
        <v>13</v>
      </c>
      <c r="H91" s="13" t="s">
        <v>13</v>
      </c>
      <c r="I91" s="13" t="s">
        <v>16</v>
      </c>
      <c r="J91" s="14" t="s">
        <v>445</v>
      </c>
      <c r="K91" s="13" t="s">
        <v>21</v>
      </c>
      <c r="L91" s="13" t="s">
        <v>439</v>
      </c>
      <c r="M91" s="13" t="s">
        <v>16</v>
      </c>
      <c r="N91" s="13" t="s">
        <v>13</v>
      </c>
      <c r="O91" s="15" t="s">
        <v>13</v>
      </c>
      <c r="P91" s="14" t="s">
        <v>13</v>
      </c>
      <c r="Q91" s="14" t="s">
        <v>13</v>
      </c>
      <c r="R91" s="13" t="s">
        <v>13</v>
      </c>
      <c r="S91" s="13" t="s">
        <v>13</v>
      </c>
      <c r="T91" s="13" t="s">
        <v>30</v>
      </c>
      <c r="U91" t="str">
        <f t="shared" si="1"/>
        <v>85507CWA INDUSTRIA DE EUCALIPTO IMUNIZADO LTD</v>
      </c>
    </row>
    <row r="92" spans="1:21" ht="15" customHeight="1" x14ac:dyDescent="0.25">
      <c r="A92" s="13" t="s">
        <v>20</v>
      </c>
      <c r="B92" s="13" t="s">
        <v>519</v>
      </c>
      <c r="C92" s="14" t="s">
        <v>338</v>
      </c>
      <c r="D92" s="13" t="s">
        <v>153</v>
      </c>
      <c r="E92" s="14" t="s">
        <v>520</v>
      </c>
      <c r="F92" s="15" t="s">
        <v>340</v>
      </c>
      <c r="G92" s="13" t="s">
        <v>13</v>
      </c>
      <c r="H92" s="13" t="s">
        <v>13</v>
      </c>
      <c r="I92" s="13" t="s">
        <v>16</v>
      </c>
      <c r="J92" s="14" t="s">
        <v>457</v>
      </c>
      <c r="K92" s="13" t="s">
        <v>21</v>
      </c>
      <c r="L92" s="10" t="s">
        <v>396</v>
      </c>
      <c r="M92" s="13" t="s">
        <v>16</v>
      </c>
      <c r="N92" s="13" t="s">
        <v>13</v>
      </c>
      <c r="O92" s="15" t="s">
        <v>13</v>
      </c>
      <c r="P92" s="14" t="s">
        <v>13</v>
      </c>
      <c r="Q92" s="14" t="s">
        <v>13</v>
      </c>
      <c r="R92" s="13" t="s">
        <v>13</v>
      </c>
      <c r="S92" s="13" t="s">
        <v>13</v>
      </c>
      <c r="T92" s="13" t="s">
        <v>279</v>
      </c>
      <c r="U92" t="str">
        <f t="shared" si="1"/>
        <v>26729MANOS IMPLEMENTOS RODOVIARIOS</v>
      </c>
    </row>
    <row r="93" spans="1:21" ht="15" customHeight="1" x14ac:dyDescent="0.25">
      <c r="A93" s="13" t="s">
        <v>20</v>
      </c>
      <c r="B93" s="13" t="s">
        <v>521</v>
      </c>
      <c r="C93" s="14" t="s">
        <v>338</v>
      </c>
      <c r="D93" s="13" t="s">
        <v>153</v>
      </c>
      <c r="E93" s="14" t="s">
        <v>522</v>
      </c>
      <c r="F93" s="15" t="s">
        <v>340</v>
      </c>
      <c r="G93" s="13" t="s">
        <v>13</v>
      </c>
      <c r="H93" s="13" t="s">
        <v>13</v>
      </c>
      <c r="I93" s="13" t="s">
        <v>16</v>
      </c>
      <c r="J93" s="14" t="s">
        <v>457</v>
      </c>
      <c r="K93" s="13" t="s">
        <v>21</v>
      </c>
      <c r="L93" s="10" t="s">
        <v>396</v>
      </c>
      <c r="M93" s="13" t="s">
        <v>16</v>
      </c>
      <c r="N93" s="13" t="s">
        <v>13</v>
      </c>
      <c r="O93" s="15" t="s">
        <v>13</v>
      </c>
      <c r="P93" s="14" t="s">
        <v>13</v>
      </c>
      <c r="Q93" s="14" t="s">
        <v>13</v>
      </c>
      <c r="R93" s="13" t="s">
        <v>13</v>
      </c>
      <c r="S93" s="13" t="s">
        <v>13</v>
      </c>
      <c r="T93" s="13" t="s">
        <v>279</v>
      </c>
      <c r="U93" t="str">
        <f t="shared" si="1"/>
        <v>26738MANOS IMPLEMENTOS RODOVIARIOS</v>
      </c>
    </row>
    <row r="94" spans="1:21" ht="15" customHeight="1" x14ac:dyDescent="0.25">
      <c r="A94" s="13" t="s">
        <v>20</v>
      </c>
      <c r="B94" s="13" t="s">
        <v>320</v>
      </c>
      <c r="C94" s="14" t="s">
        <v>321</v>
      </c>
      <c r="D94" s="13" t="s">
        <v>322</v>
      </c>
      <c r="E94" s="14" t="s">
        <v>323</v>
      </c>
      <c r="F94" s="15" t="s">
        <v>324</v>
      </c>
      <c r="G94" s="13" t="s">
        <v>13</v>
      </c>
      <c r="H94" s="13" t="s">
        <v>13</v>
      </c>
      <c r="I94" s="13" t="s">
        <v>26</v>
      </c>
      <c r="J94" s="14" t="s">
        <v>325</v>
      </c>
      <c r="K94" s="13" t="s">
        <v>21</v>
      </c>
      <c r="L94" s="13" t="s">
        <v>334</v>
      </c>
      <c r="M94" s="13" t="s">
        <v>26</v>
      </c>
      <c r="N94" s="13" t="s">
        <v>13</v>
      </c>
      <c r="O94" s="15" t="s">
        <v>13</v>
      </c>
      <c r="P94" s="14" t="s">
        <v>17</v>
      </c>
      <c r="Q94" s="14" t="s">
        <v>13</v>
      </c>
      <c r="R94" s="13" t="s">
        <v>13</v>
      </c>
      <c r="S94" s="13" t="s">
        <v>13</v>
      </c>
      <c r="T94" s="13" t="s">
        <v>30</v>
      </c>
      <c r="U94" t="str">
        <f t="shared" si="1"/>
        <v>59222ADUBOS REAL S.A.</v>
      </c>
    </row>
    <row r="95" spans="1:21" ht="15" customHeight="1" x14ac:dyDescent="0.25">
      <c r="A95" s="13" t="s">
        <v>20</v>
      </c>
      <c r="B95" s="13" t="s">
        <v>523</v>
      </c>
      <c r="C95" s="14" t="s">
        <v>321</v>
      </c>
      <c r="D95" s="13" t="s">
        <v>524</v>
      </c>
      <c r="E95" s="14" t="s">
        <v>525</v>
      </c>
      <c r="F95" s="15" t="s">
        <v>324</v>
      </c>
      <c r="G95" s="13" t="s">
        <v>13</v>
      </c>
      <c r="H95" s="13" t="s">
        <v>13</v>
      </c>
      <c r="I95" s="13" t="s">
        <v>26</v>
      </c>
      <c r="J95" s="14" t="s">
        <v>526</v>
      </c>
      <c r="K95" s="13" t="s">
        <v>21</v>
      </c>
      <c r="L95" s="13" t="s">
        <v>396</v>
      </c>
      <c r="M95" s="13" t="s">
        <v>26</v>
      </c>
      <c r="N95" s="13" t="s">
        <v>13</v>
      </c>
      <c r="O95" s="15" t="s">
        <v>13</v>
      </c>
      <c r="P95" s="14" t="s">
        <v>17</v>
      </c>
      <c r="Q95" s="14" t="s">
        <v>13</v>
      </c>
      <c r="R95" s="13" t="s">
        <v>13</v>
      </c>
      <c r="S95" s="13" t="s">
        <v>13</v>
      </c>
      <c r="T95" s="13" t="s">
        <v>279</v>
      </c>
      <c r="U95" t="str">
        <f t="shared" si="1"/>
        <v>59888ADUBOS REAL S.A.</v>
      </c>
    </row>
    <row r="96" spans="1:21" ht="15" customHeight="1" x14ac:dyDescent="0.25">
      <c r="A96" s="13" t="s">
        <v>20</v>
      </c>
      <c r="B96" s="13" t="s">
        <v>308</v>
      </c>
      <c r="C96" s="14" t="s">
        <v>309</v>
      </c>
      <c r="D96" s="13" t="s">
        <v>310</v>
      </c>
      <c r="E96" s="14" t="s">
        <v>311</v>
      </c>
      <c r="F96" s="15" t="s">
        <v>312</v>
      </c>
      <c r="G96" s="13" t="s">
        <v>13</v>
      </c>
      <c r="H96" s="13" t="s">
        <v>13</v>
      </c>
      <c r="I96" s="13" t="s">
        <v>26</v>
      </c>
      <c r="J96" s="14" t="s">
        <v>313</v>
      </c>
      <c r="K96" s="13" t="s">
        <v>21</v>
      </c>
      <c r="L96" s="13" t="s">
        <v>334</v>
      </c>
      <c r="M96" s="13" t="s">
        <v>26</v>
      </c>
      <c r="N96" s="13" t="s">
        <v>13</v>
      </c>
      <c r="O96" s="15" t="s">
        <v>13</v>
      </c>
      <c r="P96" s="14" t="s">
        <v>13</v>
      </c>
      <c r="Q96" s="14" t="s">
        <v>13</v>
      </c>
      <c r="R96" s="13" t="s">
        <v>13</v>
      </c>
      <c r="S96" s="13" t="s">
        <v>13</v>
      </c>
      <c r="T96" s="13" t="s">
        <v>30</v>
      </c>
      <c r="U96" t="str">
        <f t="shared" si="1"/>
        <v>3204TRITUCAP EQUIPAMENTOS AGRICOLAS LTDA</v>
      </c>
    </row>
    <row r="97" spans="1:21" ht="15" customHeight="1" x14ac:dyDescent="0.25">
      <c r="A97" s="13" t="s">
        <v>20</v>
      </c>
      <c r="B97" s="13" t="s">
        <v>527</v>
      </c>
      <c r="C97" s="14" t="s">
        <v>338</v>
      </c>
      <c r="D97" s="13" t="s">
        <v>153</v>
      </c>
      <c r="E97" s="14" t="s">
        <v>528</v>
      </c>
      <c r="F97" s="15" t="s">
        <v>352</v>
      </c>
      <c r="G97" s="13" t="s">
        <v>13</v>
      </c>
      <c r="H97" s="13" t="s">
        <v>13</v>
      </c>
      <c r="I97" s="13" t="s">
        <v>16</v>
      </c>
      <c r="J97" s="14" t="s">
        <v>457</v>
      </c>
      <c r="K97" s="13" t="s">
        <v>21</v>
      </c>
      <c r="L97" s="10" t="s">
        <v>396</v>
      </c>
      <c r="M97" s="13" t="s">
        <v>16</v>
      </c>
      <c r="N97" s="13" t="s">
        <v>13</v>
      </c>
      <c r="O97" s="15" t="s">
        <v>13</v>
      </c>
      <c r="P97" s="14" t="s">
        <v>13</v>
      </c>
      <c r="Q97" s="14" t="s">
        <v>13</v>
      </c>
      <c r="R97" s="13" t="s">
        <v>13</v>
      </c>
      <c r="S97" s="13" t="s">
        <v>13</v>
      </c>
      <c r="T97" s="13" t="s">
        <v>279</v>
      </c>
      <c r="U97" t="str">
        <f t="shared" si="1"/>
        <v>26739MANOS IMPLEMENTOS RODOVIARIOS</v>
      </c>
    </row>
    <row r="98" spans="1:21" ht="15" customHeight="1" x14ac:dyDescent="0.25">
      <c r="A98" s="13" t="s">
        <v>20</v>
      </c>
      <c r="B98" s="13" t="s">
        <v>529</v>
      </c>
      <c r="C98" s="14" t="s">
        <v>338</v>
      </c>
      <c r="D98" s="13" t="s">
        <v>153</v>
      </c>
      <c r="E98" s="14" t="s">
        <v>530</v>
      </c>
      <c r="F98" s="15" t="s">
        <v>340</v>
      </c>
      <c r="G98" s="13" t="s">
        <v>13</v>
      </c>
      <c r="H98" s="13" t="s">
        <v>13</v>
      </c>
      <c r="I98" s="13" t="s">
        <v>16</v>
      </c>
      <c r="J98" s="14" t="s">
        <v>457</v>
      </c>
      <c r="K98" s="13" t="s">
        <v>21</v>
      </c>
      <c r="L98" s="10" t="s">
        <v>396</v>
      </c>
      <c r="M98" s="13" t="s">
        <v>16</v>
      </c>
      <c r="N98" s="13" t="s">
        <v>13</v>
      </c>
      <c r="O98" s="15" t="s">
        <v>13</v>
      </c>
      <c r="P98" s="14" t="s">
        <v>13</v>
      </c>
      <c r="Q98" s="14" t="s">
        <v>13</v>
      </c>
      <c r="R98" s="13" t="s">
        <v>13</v>
      </c>
      <c r="S98" s="13" t="s">
        <v>13</v>
      </c>
      <c r="T98" s="13" t="s">
        <v>279</v>
      </c>
      <c r="U98" t="str">
        <f t="shared" si="1"/>
        <v>26732MANOS IMPLEMENTOS RODOVIARIOS</v>
      </c>
    </row>
    <row r="99" spans="1:21" ht="15" customHeight="1" x14ac:dyDescent="0.25">
      <c r="A99" s="13" t="s">
        <v>20</v>
      </c>
      <c r="B99" s="13" t="s">
        <v>531</v>
      </c>
      <c r="C99" s="14" t="s">
        <v>338</v>
      </c>
      <c r="D99" s="13" t="s">
        <v>153</v>
      </c>
      <c r="E99" s="14" t="s">
        <v>532</v>
      </c>
      <c r="F99" s="15" t="s">
        <v>340</v>
      </c>
      <c r="G99" s="13" t="s">
        <v>13</v>
      </c>
      <c r="H99" s="13" t="s">
        <v>13</v>
      </c>
      <c r="I99" s="13" t="s">
        <v>16</v>
      </c>
      <c r="J99" s="14" t="s">
        <v>457</v>
      </c>
      <c r="K99" s="13" t="s">
        <v>21</v>
      </c>
      <c r="L99" s="10" t="s">
        <v>396</v>
      </c>
      <c r="M99" s="13" t="s">
        <v>16</v>
      </c>
      <c r="N99" s="13" t="s">
        <v>13</v>
      </c>
      <c r="O99" s="15" t="s">
        <v>13</v>
      </c>
      <c r="P99" s="14" t="s">
        <v>13</v>
      </c>
      <c r="Q99" s="14" t="s">
        <v>13</v>
      </c>
      <c r="R99" s="13" t="s">
        <v>13</v>
      </c>
      <c r="S99" s="13" t="s">
        <v>13</v>
      </c>
      <c r="T99" s="13" t="s">
        <v>279</v>
      </c>
      <c r="U99" t="str">
        <f t="shared" si="1"/>
        <v>26728MANOS IMPLEMENTOS RODOVIARIOS</v>
      </c>
    </row>
    <row r="100" spans="1:21" ht="15" customHeight="1" x14ac:dyDescent="0.25">
      <c r="A100" s="13" t="s">
        <v>20</v>
      </c>
      <c r="B100" s="13" t="s">
        <v>533</v>
      </c>
      <c r="C100" s="14" t="s">
        <v>338</v>
      </c>
      <c r="D100" s="13" t="s">
        <v>153</v>
      </c>
      <c r="E100" s="14" t="s">
        <v>534</v>
      </c>
      <c r="F100" s="15" t="s">
        <v>340</v>
      </c>
      <c r="G100" s="13" t="s">
        <v>13</v>
      </c>
      <c r="H100" s="13" t="s">
        <v>13</v>
      </c>
      <c r="I100" s="13" t="s">
        <v>16</v>
      </c>
      <c r="J100" s="14" t="s">
        <v>457</v>
      </c>
      <c r="K100" s="13" t="s">
        <v>21</v>
      </c>
      <c r="L100" s="10" t="s">
        <v>396</v>
      </c>
      <c r="M100" s="13" t="s">
        <v>16</v>
      </c>
      <c r="N100" s="13" t="s">
        <v>13</v>
      </c>
      <c r="O100" s="15" t="s">
        <v>13</v>
      </c>
      <c r="P100" s="14" t="s">
        <v>13</v>
      </c>
      <c r="Q100" s="14" t="s">
        <v>13</v>
      </c>
      <c r="R100" s="13" t="s">
        <v>13</v>
      </c>
      <c r="S100" s="13" t="s">
        <v>13</v>
      </c>
      <c r="T100" s="13" t="s">
        <v>279</v>
      </c>
      <c r="U100" t="str">
        <f t="shared" si="1"/>
        <v>26737MANOS IMPLEMENTOS RODOVIARIOS</v>
      </c>
    </row>
    <row r="101" spans="1:21" ht="15" customHeight="1" x14ac:dyDescent="0.25">
      <c r="A101" s="13" t="s">
        <v>20</v>
      </c>
      <c r="B101" s="13" t="s">
        <v>535</v>
      </c>
      <c r="C101" s="14" t="s">
        <v>338</v>
      </c>
      <c r="D101" s="13" t="s">
        <v>153</v>
      </c>
      <c r="E101" s="14" t="s">
        <v>536</v>
      </c>
      <c r="F101" s="15" t="s">
        <v>340</v>
      </c>
      <c r="G101" s="13" t="s">
        <v>13</v>
      </c>
      <c r="H101" s="13" t="s">
        <v>13</v>
      </c>
      <c r="I101" s="13" t="s">
        <v>16</v>
      </c>
      <c r="J101" s="14" t="s">
        <v>457</v>
      </c>
      <c r="K101" s="13" t="s">
        <v>21</v>
      </c>
      <c r="L101" s="10" t="s">
        <v>396</v>
      </c>
      <c r="M101" s="13" t="s">
        <v>16</v>
      </c>
      <c r="N101" s="13" t="s">
        <v>13</v>
      </c>
      <c r="O101" s="15" t="s">
        <v>13</v>
      </c>
      <c r="P101" s="14" t="s">
        <v>13</v>
      </c>
      <c r="Q101" s="14" t="s">
        <v>13</v>
      </c>
      <c r="R101" s="13" t="s">
        <v>13</v>
      </c>
      <c r="S101" s="13" t="s">
        <v>13</v>
      </c>
      <c r="T101" s="13" t="s">
        <v>279</v>
      </c>
      <c r="U101" t="str">
        <f t="shared" si="1"/>
        <v>26736MANOS IMPLEMENTOS RODOVIARIOS</v>
      </c>
    </row>
    <row r="102" spans="1:21" ht="15" customHeight="1" x14ac:dyDescent="0.25">
      <c r="A102" s="13" t="s">
        <v>20</v>
      </c>
      <c r="B102" s="13" t="s">
        <v>537</v>
      </c>
      <c r="C102" s="14" t="s">
        <v>338</v>
      </c>
      <c r="D102" s="13" t="s">
        <v>153</v>
      </c>
      <c r="E102" s="14" t="s">
        <v>538</v>
      </c>
      <c r="F102" s="15" t="s">
        <v>340</v>
      </c>
      <c r="G102" s="13" t="s">
        <v>13</v>
      </c>
      <c r="H102" s="13" t="s">
        <v>13</v>
      </c>
      <c r="I102" s="13" t="s">
        <v>16</v>
      </c>
      <c r="J102" s="14" t="s">
        <v>457</v>
      </c>
      <c r="K102" s="13" t="s">
        <v>21</v>
      </c>
      <c r="L102" s="10" t="s">
        <v>396</v>
      </c>
      <c r="M102" s="13" t="s">
        <v>16</v>
      </c>
      <c r="N102" s="13" t="s">
        <v>13</v>
      </c>
      <c r="O102" s="15" t="s">
        <v>13</v>
      </c>
      <c r="P102" s="14" t="s">
        <v>13</v>
      </c>
      <c r="Q102" s="14" t="s">
        <v>13</v>
      </c>
      <c r="R102" s="13" t="s">
        <v>13</v>
      </c>
      <c r="S102" s="13" t="s">
        <v>13</v>
      </c>
      <c r="T102" s="13" t="s">
        <v>279</v>
      </c>
      <c r="U102" t="str">
        <f t="shared" si="1"/>
        <v>26734MANOS IMPLEMENTOS RODOVIARIOS</v>
      </c>
    </row>
    <row r="103" spans="1:21" ht="15" customHeight="1" x14ac:dyDescent="0.25">
      <c r="A103" s="13" t="s">
        <v>20</v>
      </c>
      <c r="B103" s="13" t="s">
        <v>539</v>
      </c>
      <c r="C103" s="14" t="s">
        <v>338</v>
      </c>
      <c r="D103" s="13" t="s">
        <v>153</v>
      </c>
      <c r="E103" s="14" t="s">
        <v>540</v>
      </c>
      <c r="F103" s="15" t="s">
        <v>340</v>
      </c>
      <c r="G103" s="13" t="s">
        <v>13</v>
      </c>
      <c r="H103" s="13" t="s">
        <v>13</v>
      </c>
      <c r="I103" s="13" t="s">
        <v>16</v>
      </c>
      <c r="J103" s="14" t="s">
        <v>457</v>
      </c>
      <c r="K103" s="13" t="s">
        <v>21</v>
      </c>
      <c r="L103" s="10" t="s">
        <v>396</v>
      </c>
      <c r="M103" s="13" t="s">
        <v>16</v>
      </c>
      <c r="N103" s="13" t="s">
        <v>13</v>
      </c>
      <c r="O103" s="15" t="s">
        <v>13</v>
      </c>
      <c r="P103" s="14" t="s">
        <v>13</v>
      </c>
      <c r="Q103" s="14" t="s">
        <v>13</v>
      </c>
      <c r="R103" s="13" t="s">
        <v>13</v>
      </c>
      <c r="S103" s="13" t="s">
        <v>13</v>
      </c>
      <c r="T103" s="13" t="s">
        <v>279</v>
      </c>
      <c r="U103" t="str">
        <f t="shared" si="1"/>
        <v>26735MANOS IMPLEMENTOS RODOVIARIOS</v>
      </c>
    </row>
    <row r="104" spans="1:21" ht="15" customHeight="1" x14ac:dyDescent="0.25">
      <c r="A104" s="13" t="s">
        <v>20</v>
      </c>
      <c r="B104" s="13" t="s">
        <v>541</v>
      </c>
      <c r="C104" s="14" t="s">
        <v>338</v>
      </c>
      <c r="D104" s="13" t="s">
        <v>153</v>
      </c>
      <c r="E104" s="14" t="s">
        <v>542</v>
      </c>
      <c r="F104" s="15" t="s">
        <v>340</v>
      </c>
      <c r="G104" s="13" t="s">
        <v>13</v>
      </c>
      <c r="H104" s="13" t="s">
        <v>13</v>
      </c>
      <c r="I104" s="13" t="s">
        <v>16</v>
      </c>
      <c r="J104" s="14" t="s">
        <v>457</v>
      </c>
      <c r="K104" s="13" t="s">
        <v>21</v>
      </c>
      <c r="L104" s="10" t="s">
        <v>396</v>
      </c>
      <c r="M104" s="13" t="s">
        <v>16</v>
      </c>
      <c r="N104" s="13" t="s">
        <v>13</v>
      </c>
      <c r="O104" s="15" t="s">
        <v>13</v>
      </c>
      <c r="P104" s="14" t="s">
        <v>13</v>
      </c>
      <c r="Q104" s="14" t="s">
        <v>13</v>
      </c>
      <c r="R104" s="13" t="s">
        <v>13</v>
      </c>
      <c r="S104" s="13" t="s">
        <v>13</v>
      </c>
      <c r="T104" s="13" t="s">
        <v>279</v>
      </c>
      <c r="U104" t="str">
        <f t="shared" si="1"/>
        <v>26733MANOS IMPLEMENTOS RODOVIARIOS</v>
      </c>
    </row>
    <row r="105" spans="1:21" ht="15" customHeight="1" x14ac:dyDescent="0.25">
      <c r="A105" s="13" t="s">
        <v>20</v>
      </c>
      <c r="B105" s="13" t="s">
        <v>330</v>
      </c>
      <c r="C105" s="14" t="s">
        <v>321</v>
      </c>
      <c r="D105" s="13" t="s">
        <v>226</v>
      </c>
      <c r="E105" s="14" t="s">
        <v>331</v>
      </c>
      <c r="F105" s="15" t="s">
        <v>332</v>
      </c>
      <c r="G105" s="13" t="s">
        <v>13</v>
      </c>
      <c r="H105" s="13" t="s">
        <v>13</v>
      </c>
      <c r="I105" s="13" t="s">
        <v>24</v>
      </c>
      <c r="J105" s="14" t="s">
        <v>325</v>
      </c>
      <c r="K105" s="13" t="s">
        <v>21</v>
      </c>
      <c r="L105" s="13" t="s">
        <v>334</v>
      </c>
      <c r="M105" s="13" t="s">
        <v>24</v>
      </c>
      <c r="N105" s="13" t="s">
        <v>13</v>
      </c>
      <c r="O105" s="15" t="s">
        <v>13</v>
      </c>
      <c r="P105" s="14" t="s">
        <v>17</v>
      </c>
      <c r="Q105" s="14" t="s">
        <v>13</v>
      </c>
      <c r="R105" s="13" t="s">
        <v>13</v>
      </c>
      <c r="S105" s="13" t="s">
        <v>13</v>
      </c>
      <c r="T105" s="13" t="s">
        <v>30</v>
      </c>
      <c r="U105" t="str">
        <f t="shared" si="1"/>
        <v>60978ADUBOS REAL S.A.</v>
      </c>
    </row>
    <row r="106" spans="1:21" ht="15" customHeight="1" x14ac:dyDescent="0.25">
      <c r="A106" s="16" t="s">
        <v>20</v>
      </c>
      <c r="B106" s="16" t="s">
        <v>543</v>
      </c>
      <c r="C106" s="17" t="s">
        <v>544</v>
      </c>
      <c r="D106" s="16" t="s">
        <v>545</v>
      </c>
      <c r="E106" s="17" t="s">
        <v>546</v>
      </c>
      <c r="F106" s="18" t="s">
        <v>547</v>
      </c>
      <c r="G106" s="16" t="s">
        <v>13</v>
      </c>
      <c r="H106" s="16" t="s">
        <v>13</v>
      </c>
      <c r="I106" s="16" t="s">
        <v>26</v>
      </c>
      <c r="J106" s="17" t="s">
        <v>548</v>
      </c>
      <c r="K106" s="16" t="s">
        <v>366</v>
      </c>
      <c r="L106" s="16" t="s">
        <v>334</v>
      </c>
      <c r="M106" s="16" t="s">
        <v>26</v>
      </c>
      <c r="N106" s="16" t="s">
        <v>13</v>
      </c>
      <c r="O106" s="18" t="s">
        <v>13</v>
      </c>
      <c r="P106" s="17" t="s">
        <v>13</v>
      </c>
      <c r="Q106" s="17" t="s">
        <v>13</v>
      </c>
      <c r="R106" s="16" t="s">
        <v>13</v>
      </c>
      <c r="S106" s="16" t="s">
        <v>13</v>
      </c>
      <c r="T106" s="16" t="s">
        <v>30</v>
      </c>
      <c r="U106" t="str">
        <f t="shared" si="1"/>
        <v>455MERCEARIA FERREIRAO CONSTRULAR</v>
      </c>
    </row>
    <row r="107" spans="1:21" ht="15" customHeight="1" x14ac:dyDescent="0.25">
      <c r="A107" s="13" t="s">
        <v>20</v>
      </c>
      <c r="B107" s="13" t="s">
        <v>254</v>
      </c>
      <c r="C107" s="14" t="s">
        <v>22</v>
      </c>
      <c r="D107" s="13" t="s">
        <v>188</v>
      </c>
      <c r="E107" s="14" t="s">
        <v>255</v>
      </c>
      <c r="F107" s="15" t="s">
        <v>13</v>
      </c>
      <c r="G107" s="13" t="s">
        <v>13</v>
      </c>
      <c r="H107" s="13" t="s">
        <v>13</v>
      </c>
      <c r="I107" s="13" t="s">
        <v>16</v>
      </c>
      <c r="J107" s="14" t="s">
        <v>256</v>
      </c>
      <c r="K107" s="13" t="s">
        <v>21</v>
      </c>
      <c r="L107" s="13" t="s">
        <v>549</v>
      </c>
      <c r="M107" s="13" t="s">
        <v>16</v>
      </c>
      <c r="N107" s="13" t="s">
        <v>13</v>
      </c>
      <c r="O107" s="15" t="s">
        <v>13</v>
      </c>
      <c r="P107" s="14" t="s">
        <v>17</v>
      </c>
      <c r="Q107" s="14" t="s">
        <v>13</v>
      </c>
      <c r="R107" s="13" t="s">
        <v>13</v>
      </c>
      <c r="S107" s="13" t="s">
        <v>13</v>
      </c>
      <c r="T107" s="13" t="s">
        <v>30</v>
      </c>
      <c r="U107" t="str">
        <f t="shared" si="1"/>
        <v>12696KOMATSU FOREST IND E COM DE MAQUINAS FLO</v>
      </c>
    </row>
    <row r="108" spans="1:21" ht="15" customHeight="1" x14ac:dyDescent="0.25">
      <c r="A108" s="13" t="s">
        <v>20</v>
      </c>
      <c r="B108" s="13" t="s">
        <v>257</v>
      </c>
      <c r="C108" s="14" t="s">
        <v>22</v>
      </c>
      <c r="D108" s="13" t="s">
        <v>36</v>
      </c>
      <c r="E108" s="14" t="s">
        <v>258</v>
      </c>
      <c r="F108" s="15" t="s">
        <v>13</v>
      </c>
      <c r="G108" s="13" t="s">
        <v>13</v>
      </c>
      <c r="H108" s="13" t="s">
        <v>13</v>
      </c>
      <c r="I108" s="13" t="s">
        <v>16</v>
      </c>
      <c r="J108" s="14" t="s">
        <v>256</v>
      </c>
      <c r="K108" s="13" t="s">
        <v>21</v>
      </c>
      <c r="L108" s="13" t="s">
        <v>549</v>
      </c>
      <c r="M108" s="13" t="s">
        <v>16</v>
      </c>
      <c r="N108" s="13" t="s">
        <v>13</v>
      </c>
      <c r="O108" s="15" t="s">
        <v>13</v>
      </c>
      <c r="P108" s="14" t="s">
        <v>17</v>
      </c>
      <c r="Q108" s="14" t="s">
        <v>13</v>
      </c>
      <c r="R108" s="13" t="s">
        <v>13</v>
      </c>
      <c r="S108" s="13" t="s">
        <v>13</v>
      </c>
      <c r="T108" s="13" t="s">
        <v>30</v>
      </c>
      <c r="U108" t="str">
        <f t="shared" si="1"/>
        <v>12690KOMATSU FOREST IND E COM DE MAQUINAS FLO</v>
      </c>
    </row>
    <row r="109" spans="1:21" ht="15" customHeight="1" x14ac:dyDescent="0.25">
      <c r="A109" s="13" t="s">
        <v>20</v>
      </c>
      <c r="B109" s="13" t="s">
        <v>259</v>
      </c>
      <c r="C109" s="14" t="s">
        <v>22</v>
      </c>
      <c r="D109" s="13" t="s">
        <v>36</v>
      </c>
      <c r="E109" s="14" t="s">
        <v>260</v>
      </c>
      <c r="F109" s="15" t="s">
        <v>13</v>
      </c>
      <c r="G109" s="13" t="s">
        <v>13</v>
      </c>
      <c r="H109" s="13" t="s">
        <v>13</v>
      </c>
      <c r="I109" s="13" t="s">
        <v>16</v>
      </c>
      <c r="J109" s="14" t="s">
        <v>256</v>
      </c>
      <c r="K109" s="13" t="s">
        <v>21</v>
      </c>
      <c r="L109" s="13" t="s">
        <v>549</v>
      </c>
      <c r="M109" s="13" t="s">
        <v>16</v>
      </c>
      <c r="N109" s="13" t="s">
        <v>13</v>
      </c>
      <c r="O109" s="15" t="s">
        <v>13</v>
      </c>
      <c r="P109" s="14" t="s">
        <v>17</v>
      </c>
      <c r="Q109" s="14" t="s">
        <v>13</v>
      </c>
      <c r="R109" s="13" t="s">
        <v>13</v>
      </c>
      <c r="S109" s="13" t="s">
        <v>13</v>
      </c>
      <c r="T109" s="13" t="s">
        <v>30</v>
      </c>
      <c r="U109" t="str">
        <f t="shared" si="1"/>
        <v>12688KOMATSU FOREST IND E COM DE MAQUINAS FLO</v>
      </c>
    </row>
    <row r="110" spans="1:21" ht="15" customHeight="1" x14ac:dyDescent="0.25">
      <c r="A110" s="13" t="s">
        <v>20</v>
      </c>
      <c r="B110" s="13" t="s">
        <v>261</v>
      </c>
      <c r="C110" s="14" t="s">
        <v>22</v>
      </c>
      <c r="D110" s="13" t="s">
        <v>188</v>
      </c>
      <c r="E110" s="14" t="s">
        <v>262</v>
      </c>
      <c r="F110" s="15" t="s">
        <v>13</v>
      </c>
      <c r="G110" s="13" t="s">
        <v>13</v>
      </c>
      <c r="H110" s="13" t="s">
        <v>13</v>
      </c>
      <c r="I110" s="13" t="s">
        <v>16</v>
      </c>
      <c r="J110" s="14" t="s">
        <v>256</v>
      </c>
      <c r="K110" s="13" t="s">
        <v>21</v>
      </c>
      <c r="L110" s="13" t="s">
        <v>549</v>
      </c>
      <c r="M110" s="13" t="s">
        <v>16</v>
      </c>
      <c r="N110" s="13" t="s">
        <v>13</v>
      </c>
      <c r="O110" s="15" t="s">
        <v>13</v>
      </c>
      <c r="P110" s="14" t="s">
        <v>17</v>
      </c>
      <c r="Q110" s="14" t="s">
        <v>13</v>
      </c>
      <c r="R110" s="13" t="s">
        <v>13</v>
      </c>
      <c r="S110" s="13" t="s">
        <v>13</v>
      </c>
      <c r="T110" s="13" t="s">
        <v>30</v>
      </c>
      <c r="U110" t="str">
        <f t="shared" si="1"/>
        <v>12695KOMATSU FOREST IND E COM DE MAQUINAS FLO</v>
      </c>
    </row>
    <row r="111" spans="1:21" ht="15" customHeight="1" x14ac:dyDescent="0.25">
      <c r="A111" s="13" t="s">
        <v>20</v>
      </c>
      <c r="B111" s="13" t="s">
        <v>550</v>
      </c>
      <c r="C111" s="14" t="s">
        <v>551</v>
      </c>
      <c r="D111" s="13" t="s">
        <v>220</v>
      </c>
      <c r="E111" s="14" t="s">
        <v>552</v>
      </c>
      <c r="F111" s="15" t="s">
        <v>553</v>
      </c>
      <c r="G111" s="13" t="s">
        <v>13</v>
      </c>
      <c r="H111" s="13" t="s">
        <v>13</v>
      </c>
      <c r="I111" s="13" t="s">
        <v>554</v>
      </c>
      <c r="J111" s="14" t="s">
        <v>555</v>
      </c>
      <c r="K111" s="13" t="s">
        <v>21</v>
      </c>
      <c r="L111" s="13" t="s">
        <v>556</v>
      </c>
      <c r="M111" s="13" t="s">
        <v>554</v>
      </c>
      <c r="N111" s="13" t="s">
        <v>13</v>
      </c>
      <c r="O111" s="15" t="s">
        <v>13</v>
      </c>
      <c r="P111" s="14" t="s">
        <v>13</v>
      </c>
      <c r="Q111" s="14" t="s">
        <v>13</v>
      </c>
      <c r="R111" s="13" t="s">
        <v>13</v>
      </c>
      <c r="S111" s="13" t="s">
        <v>13</v>
      </c>
      <c r="T111" s="13" t="s">
        <v>30</v>
      </c>
      <c r="U111" t="str">
        <f t="shared" si="1"/>
        <v>73043POSTO SANTA EDWIGES PETROLEO LTDA  FILIAL JUA</v>
      </c>
    </row>
    <row r="112" spans="1:21" ht="15" customHeight="1" x14ac:dyDescent="0.25">
      <c r="A112" s="13" t="s">
        <v>20</v>
      </c>
      <c r="B112" s="13" t="s">
        <v>557</v>
      </c>
      <c r="C112" s="14" t="s">
        <v>558</v>
      </c>
      <c r="D112" s="13" t="s">
        <v>425</v>
      </c>
      <c r="E112" s="14" t="s">
        <v>559</v>
      </c>
      <c r="F112" s="15" t="s">
        <v>560</v>
      </c>
      <c r="G112" s="13" t="s">
        <v>13</v>
      </c>
      <c r="H112" s="13" t="s">
        <v>13</v>
      </c>
      <c r="I112" s="13" t="s">
        <v>176</v>
      </c>
      <c r="J112" s="14" t="s">
        <v>561</v>
      </c>
      <c r="K112" s="13" t="s">
        <v>21</v>
      </c>
      <c r="L112" s="13" t="s">
        <v>556</v>
      </c>
      <c r="M112" s="13" t="s">
        <v>176</v>
      </c>
      <c r="N112" s="13" t="s">
        <v>13</v>
      </c>
      <c r="O112" s="15" t="s">
        <v>13</v>
      </c>
      <c r="P112" s="14" t="s">
        <v>13</v>
      </c>
      <c r="Q112" s="14" t="s">
        <v>13</v>
      </c>
      <c r="R112" s="13" t="s">
        <v>13</v>
      </c>
      <c r="S112" s="13" t="s">
        <v>13</v>
      </c>
      <c r="T112" s="13" t="s">
        <v>30</v>
      </c>
      <c r="U112" t="str">
        <f t="shared" si="1"/>
        <v>283873REDE DE POSTOS MARAJO CENTRALINA LTDA</v>
      </c>
    </row>
    <row r="113" spans="1:21" ht="15" customHeight="1" x14ac:dyDescent="0.25">
      <c r="A113" s="13" t="s">
        <v>20</v>
      </c>
      <c r="B113" s="13" t="s">
        <v>562</v>
      </c>
      <c r="C113" s="14" t="s">
        <v>563</v>
      </c>
      <c r="D113" s="13" t="s">
        <v>442</v>
      </c>
      <c r="E113" s="14" t="s">
        <v>564</v>
      </c>
      <c r="F113" s="15" t="s">
        <v>565</v>
      </c>
      <c r="G113" s="13" t="s">
        <v>13</v>
      </c>
      <c r="H113" s="13" t="s">
        <v>13</v>
      </c>
      <c r="I113" s="13" t="s">
        <v>554</v>
      </c>
      <c r="J113" s="14" t="s">
        <v>555</v>
      </c>
      <c r="K113" s="13" t="s">
        <v>21</v>
      </c>
      <c r="L113" s="13" t="s">
        <v>556</v>
      </c>
      <c r="M113" s="13" t="s">
        <v>554</v>
      </c>
      <c r="N113" s="13" t="s">
        <v>13</v>
      </c>
      <c r="O113" s="15" t="s">
        <v>13</v>
      </c>
      <c r="P113" s="14" t="s">
        <v>13</v>
      </c>
      <c r="Q113" s="14" t="s">
        <v>13</v>
      </c>
      <c r="R113" s="13" t="s">
        <v>13</v>
      </c>
      <c r="S113" s="13" t="s">
        <v>13</v>
      </c>
      <c r="T113" s="13" t="s">
        <v>30</v>
      </c>
      <c r="U113" t="str">
        <f t="shared" si="1"/>
        <v>154282POSTO SANTA EDWIGES PETROLEO LTDA  FILIAL JK</v>
      </c>
    </row>
    <row r="114" spans="1:21" ht="15" customHeight="1" x14ac:dyDescent="0.25">
      <c r="A114" s="13" t="s">
        <v>20</v>
      </c>
      <c r="B114" s="13" t="s">
        <v>566</v>
      </c>
      <c r="C114" s="14" t="s">
        <v>551</v>
      </c>
      <c r="D114" s="13" t="s">
        <v>567</v>
      </c>
      <c r="E114" s="14" t="s">
        <v>568</v>
      </c>
      <c r="F114" s="15" t="s">
        <v>569</v>
      </c>
      <c r="G114" s="13" t="s">
        <v>13</v>
      </c>
      <c r="H114" s="13" t="s">
        <v>13</v>
      </c>
      <c r="I114" s="13" t="s">
        <v>554</v>
      </c>
      <c r="J114" s="14" t="s">
        <v>555</v>
      </c>
      <c r="K114" s="13" t="s">
        <v>21</v>
      </c>
      <c r="L114" s="13" t="s">
        <v>556</v>
      </c>
      <c r="M114" s="13" t="s">
        <v>554</v>
      </c>
      <c r="N114" s="13" t="s">
        <v>13</v>
      </c>
      <c r="O114" s="15" t="s">
        <v>13</v>
      </c>
      <c r="P114" s="14" t="s">
        <v>13</v>
      </c>
      <c r="Q114" s="14" t="s">
        <v>13</v>
      </c>
      <c r="R114" s="13" t="s">
        <v>13</v>
      </c>
      <c r="S114" s="13" t="s">
        <v>13</v>
      </c>
      <c r="T114" s="13" t="s">
        <v>30</v>
      </c>
      <c r="U114" t="str">
        <f t="shared" si="1"/>
        <v>72516POSTO SANTA EDWIGES PETROLEO LTDA  FILIAL JUA</v>
      </c>
    </row>
    <row r="115" spans="1:21" ht="15" customHeight="1" x14ac:dyDescent="0.25">
      <c r="A115" s="13" t="s">
        <v>20</v>
      </c>
      <c r="B115" s="13" t="s">
        <v>570</v>
      </c>
      <c r="C115" s="14" t="s">
        <v>571</v>
      </c>
      <c r="D115" s="13" t="s">
        <v>572</v>
      </c>
      <c r="E115" s="14" t="s">
        <v>573</v>
      </c>
      <c r="F115" s="15" t="s">
        <v>574</v>
      </c>
      <c r="G115" s="13" t="s">
        <v>13</v>
      </c>
      <c r="H115" s="13" t="s">
        <v>13</v>
      </c>
      <c r="I115" s="13" t="s">
        <v>176</v>
      </c>
      <c r="J115" s="14" t="s">
        <v>561</v>
      </c>
      <c r="K115" s="13" t="s">
        <v>21</v>
      </c>
      <c r="L115" s="13" t="s">
        <v>556</v>
      </c>
      <c r="M115" s="13" t="s">
        <v>176</v>
      </c>
      <c r="N115" s="13" t="s">
        <v>13</v>
      </c>
      <c r="O115" s="15" t="s">
        <v>13</v>
      </c>
      <c r="P115" s="14" t="s">
        <v>13</v>
      </c>
      <c r="Q115" s="14" t="s">
        <v>13</v>
      </c>
      <c r="R115" s="13" t="s">
        <v>13</v>
      </c>
      <c r="S115" s="13" t="s">
        <v>13</v>
      </c>
      <c r="T115" s="13" t="s">
        <v>30</v>
      </c>
      <c r="U115" t="str">
        <f t="shared" si="1"/>
        <v>506883REDE DE POSTOS MARAJO CUIABA LTDA</v>
      </c>
    </row>
    <row r="116" spans="1:21" ht="15" customHeight="1" x14ac:dyDescent="0.25">
      <c r="A116" s="13" t="s">
        <v>20</v>
      </c>
      <c r="B116" s="13" t="s">
        <v>575</v>
      </c>
      <c r="C116" s="14" t="s">
        <v>576</v>
      </c>
      <c r="D116" s="13" t="s">
        <v>425</v>
      </c>
      <c r="E116" s="14" t="s">
        <v>577</v>
      </c>
      <c r="F116" s="15" t="s">
        <v>578</v>
      </c>
      <c r="G116" s="13" t="s">
        <v>13</v>
      </c>
      <c r="H116" s="13" t="s">
        <v>13</v>
      </c>
      <c r="I116" s="13" t="s">
        <v>554</v>
      </c>
      <c r="J116" s="14" t="s">
        <v>555</v>
      </c>
      <c r="K116" s="13" t="s">
        <v>21</v>
      </c>
      <c r="L116" s="13" t="s">
        <v>556</v>
      </c>
      <c r="M116" s="13" t="s">
        <v>554</v>
      </c>
      <c r="N116" s="13" t="s">
        <v>13</v>
      </c>
      <c r="O116" s="15" t="s">
        <v>13</v>
      </c>
      <c r="P116" s="14" t="s">
        <v>13</v>
      </c>
      <c r="Q116" s="14" t="s">
        <v>13</v>
      </c>
      <c r="R116" s="13" t="s">
        <v>13</v>
      </c>
      <c r="S116" s="13" t="s">
        <v>13</v>
      </c>
      <c r="T116" s="13" t="s">
        <v>30</v>
      </c>
      <c r="U116" t="str">
        <f t="shared" si="1"/>
        <v>9252371POSTO SANTA EDWIGES PETROLEO LTDA  FILIAL CX1</v>
      </c>
    </row>
    <row r="117" spans="1:21" ht="15" customHeight="1" x14ac:dyDescent="0.25">
      <c r="A117" s="13" t="s">
        <v>20</v>
      </c>
      <c r="B117" s="13" t="s">
        <v>579</v>
      </c>
      <c r="C117" s="14" t="s">
        <v>551</v>
      </c>
      <c r="D117" s="13" t="s">
        <v>37</v>
      </c>
      <c r="E117" s="14" t="s">
        <v>580</v>
      </c>
      <c r="F117" s="15" t="s">
        <v>581</v>
      </c>
      <c r="G117" s="13" t="s">
        <v>13</v>
      </c>
      <c r="H117" s="13" t="s">
        <v>13</v>
      </c>
      <c r="I117" s="13" t="s">
        <v>554</v>
      </c>
      <c r="J117" s="14" t="s">
        <v>555</v>
      </c>
      <c r="K117" s="13" t="s">
        <v>21</v>
      </c>
      <c r="L117" s="13" t="s">
        <v>556</v>
      </c>
      <c r="M117" s="13" t="s">
        <v>554</v>
      </c>
      <c r="N117" s="13" t="s">
        <v>13</v>
      </c>
      <c r="O117" s="15" t="s">
        <v>13</v>
      </c>
      <c r="P117" s="14" t="s">
        <v>13</v>
      </c>
      <c r="Q117" s="14" t="s">
        <v>13</v>
      </c>
      <c r="R117" s="13" t="s">
        <v>13</v>
      </c>
      <c r="S117" s="13" t="s">
        <v>13</v>
      </c>
      <c r="T117" s="13" t="s">
        <v>30</v>
      </c>
      <c r="U117" t="str">
        <f t="shared" si="1"/>
        <v>74503POSTO SANTA EDWIGES PETROLEO LTDA  FILIAL JUA</v>
      </c>
    </row>
    <row r="118" spans="1:21" ht="15" customHeight="1" x14ac:dyDescent="0.25">
      <c r="A118" s="13" t="s">
        <v>20</v>
      </c>
      <c r="B118" s="13" t="s">
        <v>582</v>
      </c>
      <c r="C118" s="14" t="s">
        <v>576</v>
      </c>
      <c r="D118" s="13" t="s">
        <v>583</v>
      </c>
      <c r="E118" s="14" t="s">
        <v>584</v>
      </c>
      <c r="F118" s="15" t="s">
        <v>585</v>
      </c>
      <c r="G118" s="13" t="s">
        <v>13</v>
      </c>
      <c r="H118" s="13" t="s">
        <v>13</v>
      </c>
      <c r="I118" s="13" t="s">
        <v>554</v>
      </c>
      <c r="J118" s="14" t="s">
        <v>555</v>
      </c>
      <c r="K118" s="13" t="s">
        <v>21</v>
      </c>
      <c r="L118" s="13" t="s">
        <v>556</v>
      </c>
      <c r="M118" s="13" t="s">
        <v>554</v>
      </c>
      <c r="N118" s="13" t="s">
        <v>13</v>
      </c>
      <c r="O118" s="15" t="s">
        <v>13</v>
      </c>
      <c r="P118" s="14" t="s">
        <v>13</v>
      </c>
      <c r="Q118" s="14" t="s">
        <v>13</v>
      </c>
      <c r="R118" s="13" t="s">
        <v>13</v>
      </c>
      <c r="S118" s="13" t="s">
        <v>13</v>
      </c>
      <c r="T118" s="13" t="s">
        <v>30</v>
      </c>
      <c r="U118" t="str">
        <f t="shared" si="1"/>
        <v>9257616POSTO SANTA EDWIGES PETROLEO LTDA  FILIAL CX1</v>
      </c>
    </row>
    <row r="119" spans="1:21" ht="15" customHeight="1" x14ac:dyDescent="0.25">
      <c r="A119" s="13" t="s">
        <v>20</v>
      </c>
      <c r="B119" s="13" t="s">
        <v>586</v>
      </c>
      <c r="C119" s="14" t="s">
        <v>587</v>
      </c>
      <c r="D119" s="13" t="s">
        <v>588</v>
      </c>
      <c r="E119" s="14" t="s">
        <v>589</v>
      </c>
      <c r="F119" s="15" t="s">
        <v>590</v>
      </c>
      <c r="G119" s="13" t="s">
        <v>13</v>
      </c>
      <c r="H119" s="13" t="s">
        <v>13</v>
      </c>
      <c r="I119" s="13" t="s">
        <v>554</v>
      </c>
      <c r="J119" s="14" t="s">
        <v>555</v>
      </c>
      <c r="K119" s="13" t="s">
        <v>21</v>
      </c>
      <c r="L119" s="13" t="s">
        <v>556</v>
      </c>
      <c r="M119" s="13" t="s">
        <v>554</v>
      </c>
      <c r="N119" s="13" t="s">
        <v>13</v>
      </c>
      <c r="O119" s="15" t="s">
        <v>13</v>
      </c>
      <c r="P119" s="14" t="s">
        <v>13</v>
      </c>
      <c r="Q119" s="14" t="s">
        <v>13</v>
      </c>
      <c r="R119" s="13" t="s">
        <v>13</v>
      </c>
      <c r="S119" s="13" t="s">
        <v>13</v>
      </c>
      <c r="T119" s="13" t="s">
        <v>30</v>
      </c>
      <c r="U119" t="str">
        <f t="shared" si="1"/>
        <v>36493POSTO SANTA EDWIGES PETROLEO LTDA  FILIAL CURVELO</v>
      </c>
    </row>
    <row r="120" spans="1:21" ht="15" customHeight="1" x14ac:dyDescent="0.25">
      <c r="A120" s="13" t="s">
        <v>20</v>
      </c>
      <c r="B120" s="13" t="s">
        <v>263</v>
      </c>
      <c r="C120" s="14" t="s">
        <v>264</v>
      </c>
      <c r="D120" s="13" t="s">
        <v>136</v>
      </c>
      <c r="E120" s="14" t="s">
        <v>265</v>
      </c>
      <c r="F120" s="15" t="s">
        <v>266</v>
      </c>
      <c r="G120" s="13" t="s">
        <v>13</v>
      </c>
      <c r="H120" s="13" t="s">
        <v>13</v>
      </c>
      <c r="I120" s="13" t="s">
        <v>267</v>
      </c>
      <c r="J120" s="14" t="s">
        <v>268</v>
      </c>
      <c r="K120" s="13" t="s">
        <v>21</v>
      </c>
      <c r="L120" s="13" t="s">
        <v>591</v>
      </c>
      <c r="M120" s="13" t="s">
        <v>267</v>
      </c>
      <c r="N120" s="13" t="s">
        <v>269</v>
      </c>
      <c r="O120" s="15" t="s">
        <v>13</v>
      </c>
      <c r="P120" s="14" t="s">
        <v>13</v>
      </c>
      <c r="Q120" s="14" t="s">
        <v>13</v>
      </c>
      <c r="R120" s="13" t="s">
        <v>13</v>
      </c>
      <c r="S120" s="13" t="s">
        <v>13</v>
      </c>
      <c r="T120" s="13" t="s">
        <v>30</v>
      </c>
      <c r="U120" t="str">
        <f t="shared" si="1"/>
        <v>31886CARGLASS</v>
      </c>
    </row>
    <row r="121" spans="1:21" ht="15" customHeight="1" x14ac:dyDescent="0.25">
      <c r="A121" s="13" t="s">
        <v>20</v>
      </c>
      <c r="B121" s="13" t="s">
        <v>270</v>
      </c>
      <c r="C121" s="14" t="s">
        <v>22</v>
      </c>
      <c r="D121" s="13" t="s">
        <v>70</v>
      </c>
      <c r="E121" s="14" t="s">
        <v>271</v>
      </c>
      <c r="F121" s="15" t="s">
        <v>272</v>
      </c>
      <c r="G121" s="13" t="s">
        <v>13</v>
      </c>
      <c r="H121" s="13" t="s">
        <v>13</v>
      </c>
      <c r="I121" s="13" t="s">
        <v>26</v>
      </c>
      <c r="J121" s="14" t="s">
        <v>256</v>
      </c>
      <c r="K121" s="13" t="s">
        <v>21</v>
      </c>
      <c r="L121" s="13" t="s">
        <v>592</v>
      </c>
      <c r="M121" s="13" t="s">
        <v>26</v>
      </c>
      <c r="N121" s="13" t="s">
        <v>273</v>
      </c>
      <c r="O121" s="15" t="s">
        <v>13</v>
      </c>
      <c r="P121" s="14" t="s">
        <v>13</v>
      </c>
      <c r="Q121" s="14" t="s">
        <v>13</v>
      </c>
      <c r="R121" s="13" t="s">
        <v>13</v>
      </c>
      <c r="S121" s="13" t="s">
        <v>13</v>
      </c>
      <c r="T121" s="13" t="s">
        <v>30</v>
      </c>
      <c r="U121" t="str">
        <f t="shared" si="1"/>
        <v>12768KOMATSU FOREST IND E COM DE MAQUINAS FLO</v>
      </c>
    </row>
    <row r="122" spans="1:21" ht="15" customHeight="1" x14ac:dyDescent="0.25">
      <c r="A122" s="13" t="s">
        <v>20</v>
      </c>
      <c r="B122" s="13" t="s">
        <v>288</v>
      </c>
      <c r="C122" s="14" t="s">
        <v>22</v>
      </c>
      <c r="D122" s="13" t="s">
        <v>69</v>
      </c>
      <c r="E122" s="14" t="s">
        <v>289</v>
      </c>
      <c r="F122" s="15" t="s">
        <v>290</v>
      </c>
      <c r="G122" s="13" t="s">
        <v>13</v>
      </c>
      <c r="H122" s="13" t="s">
        <v>13</v>
      </c>
      <c r="I122" s="13" t="s">
        <v>16</v>
      </c>
      <c r="J122" s="14" t="s">
        <v>256</v>
      </c>
      <c r="K122" s="13" t="s">
        <v>21</v>
      </c>
      <c r="L122" s="13" t="s">
        <v>592</v>
      </c>
      <c r="M122" s="13" t="s">
        <v>16</v>
      </c>
      <c r="N122" s="13" t="s">
        <v>291</v>
      </c>
      <c r="O122" s="15" t="s">
        <v>13</v>
      </c>
      <c r="P122" s="14" t="s">
        <v>13</v>
      </c>
      <c r="Q122" s="14" t="s">
        <v>13</v>
      </c>
      <c r="R122" s="13" t="s">
        <v>13</v>
      </c>
      <c r="S122" s="13" t="s">
        <v>13</v>
      </c>
      <c r="T122" s="13" t="s">
        <v>30</v>
      </c>
      <c r="U122" t="str">
        <f t="shared" si="1"/>
        <v>12781KOMATSU FOREST IND E COM DE MAQUINAS FLO</v>
      </c>
    </row>
    <row r="123" spans="1:21" ht="15" customHeight="1" x14ac:dyDescent="0.25">
      <c r="A123" s="13" t="s">
        <v>20</v>
      </c>
      <c r="B123" s="13" t="s">
        <v>280</v>
      </c>
      <c r="C123" s="14" t="s">
        <v>281</v>
      </c>
      <c r="D123" s="13" t="s">
        <v>157</v>
      </c>
      <c r="E123" s="14" t="s">
        <v>282</v>
      </c>
      <c r="F123" s="15" t="s">
        <v>283</v>
      </c>
      <c r="G123" s="13" t="s">
        <v>13</v>
      </c>
      <c r="H123" s="13" t="s">
        <v>13</v>
      </c>
      <c r="I123" s="13" t="s">
        <v>16</v>
      </c>
      <c r="J123" s="14" t="s">
        <v>284</v>
      </c>
      <c r="K123" s="13" t="s">
        <v>21</v>
      </c>
      <c r="L123" s="13" t="s">
        <v>439</v>
      </c>
      <c r="M123" s="13" t="s">
        <v>16</v>
      </c>
      <c r="N123" s="13" t="s">
        <v>13</v>
      </c>
      <c r="O123" s="15" t="s">
        <v>13</v>
      </c>
      <c r="P123" s="14" t="s">
        <v>13</v>
      </c>
      <c r="Q123" s="14" t="s">
        <v>13</v>
      </c>
      <c r="R123" s="13" t="s">
        <v>13</v>
      </c>
      <c r="S123" s="13" t="s">
        <v>13</v>
      </c>
      <c r="T123" s="13" t="s">
        <v>30</v>
      </c>
      <c r="U123" t="str">
        <f t="shared" si="1"/>
        <v>684AMARAL E MELO SERVICOS E TRANSPORTES LTDA</v>
      </c>
    </row>
    <row r="124" spans="1:21" ht="15" customHeight="1" x14ac:dyDescent="0.25">
      <c r="A124" s="13" t="s">
        <v>20</v>
      </c>
      <c r="B124" s="13" t="s">
        <v>593</v>
      </c>
      <c r="C124" s="14" t="s">
        <v>571</v>
      </c>
      <c r="D124" s="13" t="s">
        <v>572</v>
      </c>
      <c r="E124" s="14" t="s">
        <v>594</v>
      </c>
      <c r="F124" s="15" t="s">
        <v>595</v>
      </c>
      <c r="G124" s="13" t="s">
        <v>13</v>
      </c>
      <c r="H124" s="13" t="s">
        <v>13</v>
      </c>
      <c r="I124" s="13" t="s">
        <v>176</v>
      </c>
      <c r="J124" s="14" t="s">
        <v>561</v>
      </c>
      <c r="K124" s="13" t="s">
        <v>21</v>
      </c>
      <c r="L124" s="13" t="s">
        <v>596</v>
      </c>
      <c r="M124" s="13" t="s">
        <v>176</v>
      </c>
      <c r="N124" s="13" t="s">
        <v>597</v>
      </c>
      <c r="O124" s="15" t="s">
        <v>13</v>
      </c>
      <c r="P124" s="14" t="s">
        <v>13</v>
      </c>
      <c r="Q124" s="14" t="s">
        <v>13</v>
      </c>
      <c r="R124" s="13" t="s">
        <v>13</v>
      </c>
      <c r="S124" s="13" t="s">
        <v>13</v>
      </c>
      <c r="T124" s="13" t="s">
        <v>30</v>
      </c>
      <c r="U124" t="str">
        <f t="shared" si="1"/>
        <v>506881REDE DE POSTOS MARAJO CUIABA LTDA</v>
      </c>
    </row>
    <row r="125" spans="1:21" ht="15" customHeight="1" x14ac:dyDescent="0.25">
      <c r="A125" s="13" t="s">
        <v>20</v>
      </c>
      <c r="B125" s="13" t="s">
        <v>598</v>
      </c>
      <c r="C125" s="14" t="s">
        <v>558</v>
      </c>
      <c r="D125" s="13" t="s">
        <v>425</v>
      </c>
      <c r="E125" s="14" t="s">
        <v>599</v>
      </c>
      <c r="F125" s="15" t="s">
        <v>600</v>
      </c>
      <c r="G125" s="13" t="s">
        <v>13</v>
      </c>
      <c r="H125" s="13" t="s">
        <v>13</v>
      </c>
      <c r="I125" s="13" t="s">
        <v>176</v>
      </c>
      <c r="J125" s="14" t="s">
        <v>561</v>
      </c>
      <c r="K125" s="13" t="s">
        <v>21</v>
      </c>
      <c r="L125" s="13" t="s">
        <v>596</v>
      </c>
      <c r="M125" s="13" t="s">
        <v>176</v>
      </c>
      <c r="N125" s="13" t="s">
        <v>597</v>
      </c>
      <c r="O125" s="15" t="s">
        <v>13</v>
      </c>
      <c r="P125" s="14" t="s">
        <v>13</v>
      </c>
      <c r="Q125" s="14" t="s">
        <v>13</v>
      </c>
      <c r="R125" s="13" t="s">
        <v>13</v>
      </c>
      <c r="S125" s="13" t="s">
        <v>13</v>
      </c>
      <c r="T125" s="13" t="s">
        <v>30</v>
      </c>
      <c r="U125" t="str">
        <f t="shared" si="1"/>
        <v>283882REDE DE POSTOS MARAJO CENTRALINA LTDA</v>
      </c>
    </row>
    <row r="126" spans="1:21" ht="15" customHeight="1" x14ac:dyDescent="0.25">
      <c r="A126" s="13" t="s">
        <v>20</v>
      </c>
      <c r="B126" s="13" t="s">
        <v>601</v>
      </c>
      <c r="C126" s="14" t="s">
        <v>563</v>
      </c>
      <c r="D126" s="13" t="s">
        <v>442</v>
      </c>
      <c r="E126" s="14" t="s">
        <v>602</v>
      </c>
      <c r="F126" s="15" t="s">
        <v>603</v>
      </c>
      <c r="G126" s="13" t="s">
        <v>13</v>
      </c>
      <c r="H126" s="13" t="s">
        <v>13</v>
      </c>
      <c r="I126" s="13" t="s">
        <v>554</v>
      </c>
      <c r="J126" s="14" t="s">
        <v>555</v>
      </c>
      <c r="K126" s="13" t="s">
        <v>21</v>
      </c>
      <c r="L126" s="13" t="s">
        <v>596</v>
      </c>
      <c r="M126" s="13" t="s">
        <v>554</v>
      </c>
      <c r="N126" s="13" t="s">
        <v>13</v>
      </c>
      <c r="O126" s="15" t="s">
        <v>13</v>
      </c>
      <c r="P126" s="14" t="s">
        <v>13</v>
      </c>
      <c r="Q126" s="14" t="s">
        <v>13</v>
      </c>
      <c r="R126" s="13" t="s">
        <v>13</v>
      </c>
      <c r="S126" s="13" t="s">
        <v>13</v>
      </c>
      <c r="T126" s="13" t="s">
        <v>30</v>
      </c>
      <c r="U126" t="str">
        <f t="shared" si="1"/>
        <v>154281POSTO SANTA EDWIGES PETROLEO LTDA  FILIAL JK</v>
      </c>
    </row>
    <row r="127" spans="1:21" ht="15" customHeight="1" x14ac:dyDescent="0.25">
      <c r="A127" s="13" t="s">
        <v>20</v>
      </c>
      <c r="B127" s="13" t="s">
        <v>604</v>
      </c>
      <c r="C127" s="14" t="s">
        <v>551</v>
      </c>
      <c r="D127" s="13" t="s">
        <v>567</v>
      </c>
      <c r="E127" s="14" t="s">
        <v>605</v>
      </c>
      <c r="F127" s="15" t="s">
        <v>606</v>
      </c>
      <c r="G127" s="13" t="s">
        <v>13</v>
      </c>
      <c r="H127" s="13" t="s">
        <v>13</v>
      </c>
      <c r="I127" s="13" t="s">
        <v>554</v>
      </c>
      <c r="J127" s="14" t="s">
        <v>555</v>
      </c>
      <c r="K127" s="13" t="s">
        <v>21</v>
      </c>
      <c r="L127" s="13" t="s">
        <v>596</v>
      </c>
      <c r="M127" s="13" t="s">
        <v>554</v>
      </c>
      <c r="N127" s="13" t="s">
        <v>13</v>
      </c>
      <c r="O127" s="15" t="s">
        <v>13</v>
      </c>
      <c r="P127" s="14" t="s">
        <v>13</v>
      </c>
      <c r="Q127" s="14" t="s">
        <v>13</v>
      </c>
      <c r="R127" s="13" t="s">
        <v>13</v>
      </c>
      <c r="S127" s="13" t="s">
        <v>13</v>
      </c>
      <c r="T127" s="13" t="s">
        <v>30</v>
      </c>
      <c r="U127" t="str">
        <f t="shared" si="1"/>
        <v>72515POSTO SANTA EDWIGES PETROLEO LTDA  FILIAL JUA</v>
      </c>
    </row>
    <row r="128" spans="1:21" ht="15" customHeight="1" x14ac:dyDescent="0.25">
      <c r="A128" s="13" t="s">
        <v>20</v>
      </c>
      <c r="B128" s="13" t="s">
        <v>607</v>
      </c>
      <c r="C128" s="14" t="s">
        <v>551</v>
      </c>
      <c r="D128" s="13" t="s">
        <v>220</v>
      </c>
      <c r="E128" s="14" t="s">
        <v>608</v>
      </c>
      <c r="F128" s="15" t="s">
        <v>609</v>
      </c>
      <c r="G128" s="13" t="s">
        <v>13</v>
      </c>
      <c r="H128" s="13" t="s">
        <v>13</v>
      </c>
      <c r="I128" s="13" t="s">
        <v>554</v>
      </c>
      <c r="J128" s="14" t="s">
        <v>555</v>
      </c>
      <c r="K128" s="13" t="s">
        <v>21</v>
      </c>
      <c r="L128" s="13" t="s">
        <v>596</v>
      </c>
      <c r="M128" s="13" t="s">
        <v>554</v>
      </c>
      <c r="N128" s="13" t="s">
        <v>13</v>
      </c>
      <c r="O128" s="15" t="s">
        <v>13</v>
      </c>
      <c r="P128" s="14" t="s">
        <v>13</v>
      </c>
      <c r="Q128" s="14" t="s">
        <v>13</v>
      </c>
      <c r="R128" s="13" t="s">
        <v>13</v>
      </c>
      <c r="S128" s="13" t="s">
        <v>13</v>
      </c>
      <c r="T128" s="13" t="s">
        <v>30</v>
      </c>
      <c r="U128" t="str">
        <f t="shared" si="1"/>
        <v>73042POSTO SANTA EDWIGES PETROLEO LTDA  FILIAL JUA</v>
      </c>
    </row>
    <row r="129" spans="1:21" ht="15" customHeight="1" x14ac:dyDescent="0.25">
      <c r="A129" s="13" t="s">
        <v>20</v>
      </c>
      <c r="B129" s="13" t="s">
        <v>298</v>
      </c>
      <c r="C129" s="14" t="s">
        <v>299</v>
      </c>
      <c r="D129" s="13" t="s">
        <v>36</v>
      </c>
      <c r="E129" s="14" t="s">
        <v>300</v>
      </c>
      <c r="F129" s="15" t="s">
        <v>41</v>
      </c>
      <c r="G129" s="13" t="s">
        <v>13</v>
      </c>
      <c r="H129" s="13" t="s">
        <v>13</v>
      </c>
      <c r="I129" s="13" t="s">
        <v>16</v>
      </c>
      <c r="J129" s="14" t="s">
        <v>301</v>
      </c>
      <c r="K129" s="13" t="s">
        <v>21</v>
      </c>
      <c r="L129" s="13" t="s">
        <v>610</v>
      </c>
      <c r="M129" s="13" t="s">
        <v>16</v>
      </c>
      <c r="N129" s="13" t="s">
        <v>302</v>
      </c>
      <c r="O129" s="15" t="s">
        <v>13</v>
      </c>
      <c r="P129" s="14" t="s">
        <v>13</v>
      </c>
      <c r="Q129" s="14" t="s">
        <v>13</v>
      </c>
      <c r="R129" s="13" t="s">
        <v>13</v>
      </c>
      <c r="S129" s="13" t="s">
        <v>13</v>
      </c>
      <c r="T129" s="13" t="s">
        <v>30</v>
      </c>
      <c r="U129" t="str">
        <f t="shared" si="1"/>
        <v>87131IRMAOS SILVA S.A</v>
      </c>
    </row>
    <row r="130" spans="1:21" ht="15" customHeight="1" x14ac:dyDescent="0.25">
      <c r="A130" s="13" t="s">
        <v>20</v>
      </c>
      <c r="B130" s="13" t="s">
        <v>611</v>
      </c>
      <c r="C130" s="14" t="s">
        <v>551</v>
      </c>
      <c r="D130" s="13" t="s">
        <v>37</v>
      </c>
      <c r="E130" s="14" t="s">
        <v>612</v>
      </c>
      <c r="F130" s="15" t="s">
        <v>613</v>
      </c>
      <c r="G130" s="13" t="s">
        <v>13</v>
      </c>
      <c r="H130" s="13" t="s">
        <v>13</v>
      </c>
      <c r="I130" s="13" t="s">
        <v>554</v>
      </c>
      <c r="J130" s="14" t="s">
        <v>555</v>
      </c>
      <c r="K130" s="13" t="s">
        <v>21</v>
      </c>
      <c r="L130" s="13" t="s">
        <v>596</v>
      </c>
      <c r="M130" s="13" t="s">
        <v>554</v>
      </c>
      <c r="N130" s="13" t="s">
        <v>13</v>
      </c>
      <c r="O130" s="15" t="s">
        <v>13</v>
      </c>
      <c r="P130" s="14" t="s">
        <v>13</v>
      </c>
      <c r="Q130" s="14" t="s">
        <v>13</v>
      </c>
      <c r="R130" s="13" t="s">
        <v>13</v>
      </c>
      <c r="S130" s="13" t="s">
        <v>13</v>
      </c>
      <c r="T130" s="13" t="s">
        <v>30</v>
      </c>
      <c r="U130" t="str">
        <f t="shared" si="1"/>
        <v>74502POSTO SANTA EDWIGES PETROLEO LTDA  FILIAL JUA</v>
      </c>
    </row>
    <row r="131" spans="1:21" ht="15" customHeight="1" x14ac:dyDescent="0.25">
      <c r="A131" s="13" t="s">
        <v>20</v>
      </c>
      <c r="B131" s="13" t="s">
        <v>614</v>
      </c>
      <c r="C131" s="14" t="s">
        <v>587</v>
      </c>
      <c r="D131" s="13" t="s">
        <v>588</v>
      </c>
      <c r="E131" s="14" t="s">
        <v>615</v>
      </c>
      <c r="F131" s="15" t="s">
        <v>616</v>
      </c>
      <c r="G131" s="13" t="s">
        <v>13</v>
      </c>
      <c r="H131" s="13" t="s">
        <v>13</v>
      </c>
      <c r="I131" s="13" t="s">
        <v>554</v>
      </c>
      <c r="J131" s="14" t="s">
        <v>555</v>
      </c>
      <c r="K131" s="13" t="s">
        <v>21</v>
      </c>
      <c r="L131" s="13" t="s">
        <v>596</v>
      </c>
      <c r="M131" s="13" t="s">
        <v>554</v>
      </c>
      <c r="N131" s="13" t="s">
        <v>13</v>
      </c>
      <c r="O131" s="15" t="s">
        <v>13</v>
      </c>
      <c r="P131" s="14" t="s">
        <v>13</v>
      </c>
      <c r="Q131" s="14" t="s">
        <v>13</v>
      </c>
      <c r="R131" s="13" t="s">
        <v>13</v>
      </c>
      <c r="S131" s="13" t="s">
        <v>13</v>
      </c>
      <c r="T131" s="13" t="s">
        <v>30</v>
      </c>
      <c r="U131" t="str">
        <f t="shared" ref="U131:U138" si="2">CONCATENATE(B131,C131)</f>
        <v>36492POSTO SANTA EDWIGES PETROLEO LTDA  FILIAL CURVELO</v>
      </c>
    </row>
    <row r="132" spans="1:21" ht="15" customHeight="1" x14ac:dyDescent="0.25">
      <c r="A132" s="13" t="s">
        <v>20</v>
      </c>
      <c r="B132" s="13" t="s">
        <v>617</v>
      </c>
      <c r="C132" s="14" t="s">
        <v>576</v>
      </c>
      <c r="D132" s="13" t="s">
        <v>425</v>
      </c>
      <c r="E132" s="14" t="s">
        <v>618</v>
      </c>
      <c r="F132" s="15" t="s">
        <v>619</v>
      </c>
      <c r="G132" s="13" t="s">
        <v>13</v>
      </c>
      <c r="H132" s="13" t="s">
        <v>13</v>
      </c>
      <c r="I132" s="13" t="s">
        <v>554</v>
      </c>
      <c r="J132" s="14" t="s">
        <v>555</v>
      </c>
      <c r="K132" s="13" t="s">
        <v>21</v>
      </c>
      <c r="L132" s="13" t="s">
        <v>596</v>
      </c>
      <c r="M132" s="13" t="s">
        <v>554</v>
      </c>
      <c r="N132" s="13" t="s">
        <v>13</v>
      </c>
      <c r="O132" s="15" t="s">
        <v>13</v>
      </c>
      <c r="P132" s="14" t="s">
        <v>13</v>
      </c>
      <c r="Q132" s="14" t="s">
        <v>13</v>
      </c>
      <c r="R132" s="13" t="s">
        <v>13</v>
      </c>
      <c r="S132" s="13" t="s">
        <v>13</v>
      </c>
      <c r="T132" s="13" t="s">
        <v>30</v>
      </c>
      <c r="U132" t="str">
        <f t="shared" si="2"/>
        <v>9252370POSTO SANTA EDWIGES PETROLEO LTDA  FILIAL CX1</v>
      </c>
    </row>
    <row r="133" spans="1:21" ht="15" customHeight="1" x14ac:dyDescent="0.25">
      <c r="A133" s="13" t="s">
        <v>20</v>
      </c>
      <c r="B133" s="13" t="s">
        <v>620</v>
      </c>
      <c r="C133" s="14" t="s">
        <v>576</v>
      </c>
      <c r="D133" s="13" t="s">
        <v>583</v>
      </c>
      <c r="E133" s="14" t="s">
        <v>621</v>
      </c>
      <c r="F133" s="15" t="s">
        <v>622</v>
      </c>
      <c r="G133" s="13" t="s">
        <v>13</v>
      </c>
      <c r="H133" s="13" t="s">
        <v>13</v>
      </c>
      <c r="I133" s="13" t="s">
        <v>554</v>
      </c>
      <c r="J133" s="14" t="s">
        <v>555</v>
      </c>
      <c r="K133" s="13" t="s">
        <v>21</v>
      </c>
      <c r="L133" s="13" t="s">
        <v>596</v>
      </c>
      <c r="M133" s="13" t="s">
        <v>554</v>
      </c>
      <c r="N133" s="13" t="s">
        <v>13</v>
      </c>
      <c r="O133" s="15" t="s">
        <v>13</v>
      </c>
      <c r="P133" s="14" t="s">
        <v>13</v>
      </c>
      <c r="Q133" s="14" t="s">
        <v>13</v>
      </c>
      <c r="R133" s="13" t="s">
        <v>13</v>
      </c>
      <c r="S133" s="13" t="s">
        <v>13</v>
      </c>
      <c r="T133" s="13" t="s">
        <v>30</v>
      </c>
      <c r="U133" t="str">
        <f t="shared" si="2"/>
        <v>9257615POSTO SANTA EDWIGES PETROLEO LTDA  FILIAL CX1</v>
      </c>
    </row>
    <row r="134" spans="1:21" ht="15" customHeight="1" x14ac:dyDescent="0.25">
      <c r="A134" s="13" t="s">
        <v>20</v>
      </c>
      <c r="B134" s="13" t="s">
        <v>314</v>
      </c>
      <c r="C134" s="14" t="s">
        <v>299</v>
      </c>
      <c r="D134" s="13" t="s">
        <v>36</v>
      </c>
      <c r="E134" s="14" t="s">
        <v>315</v>
      </c>
      <c r="F134" s="15" t="s">
        <v>39</v>
      </c>
      <c r="G134" s="13" t="s">
        <v>13</v>
      </c>
      <c r="H134" s="13" t="s">
        <v>13</v>
      </c>
      <c r="I134" s="13" t="s">
        <v>16</v>
      </c>
      <c r="J134" s="14" t="s">
        <v>301</v>
      </c>
      <c r="K134" s="13" t="s">
        <v>21</v>
      </c>
      <c r="L134" s="13" t="s">
        <v>610</v>
      </c>
      <c r="M134" s="13" t="s">
        <v>16</v>
      </c>
      <c r="N134" s="13" t="s">
        <v>302</v>
      </c>
      <c r="O134" s="15" t="s">
        <v>13</v>
      </c>
      <c r="P134" s="14" t="s">
        <v>13</v>
      </c>
      <c r="Q134" s="14" t="s">
        <v>13</v>
      </c>
      <c r="R134" s="13" t="s">
        <v>13</v>
      </c>
      <c r="S134" s="13" t="s">
        <v>13</v>
      </c>
      <c r="T134" s="13" t="s">
        <v>30</v>
      </c>
      <c r="U134" t="str">
        <f t="shared" si="2"/>
        <v>87133IRMAOS SILVA S.A</v>
      </c>
    </row>
    <row r="135" spans="1:21" ht="15" customHeight="1" x14ac:dyDescent="0.25">
      <c r="A135" s="13" t="s">
        <v>20</v>
      </c>
      <c r="B135" s="13" t="s">
        <v>316</v>
      </c>
      <c r="C135" s="14" t="s">
        <v>214</v>
      </c>
      <c r="D135" s="13" t="s">
        <v>154</v>
      </c>
      <c r="E135" s="14" t="s">
        <v>317</v>
      </c>
      <c r="F135" s="15" t="s">
        <v>318</v>
      </c>
      <c r="G135" s="13" t="s">
        <v>13</v>
      </c>
      <c r="H135" s="13" t="s">
        <v>13</v>
      </c>
      <c r="I135" s="13" t="s">
        <v>16</v>
      </c>
      <c r="J135" s="14" t="s">
        <v>319</v>
      </c>
      <c r="K135" s="13" t="s">
        <v>21</v>
      </c>
      <c r="L135" s="13" t="s">
        <v>591</v>
      </c>
      <c r="M135" s="13" t="s">
        <v>16</v>
      </c>
      <c r="N135" s="13" t="s">
        <v>13</v>
      </c>
      <c r="O135" s="15" t="s">
        <v>13</v>
      </c>
      <c r="P135" s="14" t="s">
        <v>17</v>
      </c>
      <c r="Q135" s="14" t="s">
        <v>13</v>
      </c>
      <c r="R135" s="13" t="s">
        <v>13</v>
      </c>
      <c r="S135" s="13" t="s">
        <v>13</v>
      </c>
      <c r="T135" s="13" t="s">
        <v>30</v>
      </c>
      <c r="U135" t="str">
        <f t="shared" si="2"/>
        <v>7785HOOK DO BRASIL SISTEMAS DE PESAGEM IND COM IMP EXP</v>
      </c>
    </row>
    <row r="136" spans="1:21" ht="15" customHeight="1" x14ac:dyDescent="0.25">
      <c r="A136" s="13" t="s">
        <v>20</v>
      </c>
      <c r="B136" s="13" t="s">
        <v>303</v>
      </c>
      <c r="C136" s="14" t="s">
        <v>304</v>
      </c>
      <c r="D136" s="13" t="s">
        <v>154</v>
      </c>
      <c r="E136" s="14" t="s">
        <v>305</v>
      </c>
      <c r="F136" s="15" t="s">
        <v>306</v>
      </c>
      <c r="G136" s="13" t="s">
        <v>13</v>
      </c>
      <c r="H136" s="13" t="s">
        <v>13</v>
      </c>
      <c r="I136" s="13" t="s">
        <v>26</v>
      </c>
      <c r="J136" s="14" t="s">
        <v>307</v>
      </c>
      <c r="K136" s="13" t="s">
        <v>21</v>
      </c>
      <c r="L136" s="13" t="s">
        <v>591</v>
      </c>
      <c r="M136" s="13" t="s">
        <v>26</v>
      </c>
      <c r="N136" s="13" t="s">
        <v>13</v>
      </c>
      <c r="O136" s="15" t="s">
        <v>13</v>
      </c>
      <c r="P136" s="14" t="s">
        <v>17</v>
      </c>
      <c r="Q136" s="14" t="s">
        <v>13</v>
      </c>
      <c r="R136" s="13" t="s">
        <v>13</v>
      </c>
      <c r="S136" s="13" t="s">
        <v>13</v>
      </c>
      <c r="T136" s="13" t="s">
        <v>30</v>
      </c>
      <c r="U136" t="str">
        <f t="shared" si="2"/>
        <v>24347PREMOBRAS PREMOLDADOS</v>
      </c>
    </row>
    <row r="137" spans="1:21" ht="15" customHeight="1" x14ac:dyDescent="0.25">
      <c r="A137" s="13" t="s">
        <v>20</v>
      </c>
      <c r="B137" s="13" t="s">
        <v>623</v>
      </c>
      <c r="C137" s="14" t="s">
        <v>624</v>
      </c>
      <c r="D137" s="13" t="s">
        <v>327</v>
      </c>
      <c r="E137" s="14" t="s">
        <v>625</v>
      </c>
      <c r="F137" s="15" t="s">
        <v>626</v>
      </c>
      <c r="G137" s="13" t="s">
        <v>13</v>
      </c>
      <c r="H137" s="13" t="s">
        <v>13</v>
      </c>
      <c r="I137" s="13" t="s">
        <v>16</v>
      </c>
      <c r="J137" s="14" t="s">
        <v>627</v>
      </c>
      <c r="K137" s="13" t="s">
        <v>21</v>
      </c>
      <c r="L137" s="13" t="s">
        <v>591</v>
      </c>
      <c r="M137" s="13" t="s">
        <v>16</v>
      </c>
      <c r="N137" s="13" t="s">
        <v>13</v>
      </c>
      <c r="O137" s="15" t="s">
        <v>13</v>
      </c>
      <c r="P137" s="14" t="s">
        <v>13</v>
      </c>
      <c r="Q137" s="14" t="s">
        <v>13</v>
      </c>
      <c r="R137" s="13" t="s">
        <v>13</v>
      </c>
      <c r="S137" s="13" t="s">
        <v>13</v>
      </c>
      <c r="T137" s="13" t="s">
        <v>30</v>
      </c>
      <c r="U137" t="str">
        <f t="shared" si="2"/>
        <v>2220Great Wall Motor Brasil LTDA</v>
      </c>
    </row>
    <row r="138" spans="1:21" ht="15" customHeight="1" x14ac:dyDescent="0.25">
      <c r="A138" s="13" t="s">
        <v>20</v>
      </c>
      <c r="B138" s="13" t="s">
        <v>628</v>
      </c>
      <c r="C138" s="14" t="s">
        <v>624</v>
      </c>
      <c r="D138" s="13" t="s">
        <v>237</v>
      </c>
      <c r="E138" s="14" t="s">
        <v>629</v>
      </c>
      <c r="F138" s="15" t="s">
        <v>630</v>
      </c>
      <c r="G138" s="13" t="s">
        <v>13</v>
      </c>
      <c r="H138" s="13" t="s">
        <v>13</v>
      </c>
      <c r="I138" s="13" t="s">
        <v>16</v>
      </c>
      <c r="J138" s="14" t="s">
        <v>627</v>
      </c>
      <c r="K138" s="13" t="s">
        <v>21</v>
      </c>
      <c r="L138" s="13" t="s">
        <v>591</v>
      </c>
      <c r="M138" s="13" t="s">
        <v>16</v>
      </c>
      <c r="N138" s="13" t="s">
        <v>13</v>
      </c>
      <c r="O138" s="15" t="s">
        <v>13</v>
      </c>
      <c r="P138" s="14" t="s">
        <v>13</v>
      </c>
      <c r="Q138" s="14" t="s">
        <v>13</v>
      </c>
      <c r="R138" s="13" t="s">
        <v>13</v>
      </c>
      <c r="S138" s="13" t="s">
        <v>13</v>
      </c>
      <c r="T138" s="13" t="s">
        <v>30</v>
      </c>
      <c r="U138" t="str">
        <f t="shared" si="2"/>
        <v>2238Great Wall Motor Brasil LTDA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valid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Larissa Silva de Azevedo</dc:creator>
  <cp:lastModifiedBy>Larissa Silva de Azevedo</cp:lastModifiedBy>
  <dcterms:created xsi:type="dcterms:W3CDTF">2026-04-02T12:34:10Z</dcterms:created>
  <dcterms:modified xsi:type="dcterms:W3CDTF">2026-06-08T20:38:46Z</dcterms:modified>
</cp:coreProperties>
</file>